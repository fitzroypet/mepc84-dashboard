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Country List" sheetId="2" r:id="rId6"/>
    <sheet state="visible" name="LDCs" sheetId="3" r:id="rId7"/>
    <sheet state="visible" name="SIDS" sheetId="4" r:id="rId8"/>
    <sheet state="visible" name="Dual Status" sheetId="5" r:id="rId9"/>
    <sheet state="visible" name="Associate Members" sheetId="6" r:id="rId10"/>
    <sheet state="visible" name="IMO Members" sheetId="7" r:id="rId11"/>
    <sheet state="visible" name="References" sheetId="8" r:id="rId12"/>
  </sheets>
  <definedNames>
    <definedName hidden="1" localSheetId="1" name="_xlnm._FilterDatabase">'Country List'!$A$1:$I$199</definedName>
    <definedName hidden="1" localSheetId="6" name="_xlnm._FilterDatabase">'IMO Members'!$A$5:$K$203</definedName>
  </definedNames>
  <calcPr/>
</workbook>
</file>

<file path=xl/sharedStrings.xml><?xml version="1.0" encoding="utf-8"?>
<sst xmlns="http://schemas.openxmlformats.org/spreadsheetml/2006/main" count="4406" uniqueCount="717">
  <si>
    <t>UN / IMO Country Development Classification</t>
  </si>
  <si>
    <t>Consolidated reference workbook</t>
  </si>
  <si>
    <t>Purpose</t>
  </si>
  <si>
    <t>A single reference table mapping every UN-recognised country and relevant territory to its development status under the frameworks most commonly used by the United Nations (UN DESA, UN-OHRLLS) and the International Maritime Organization (IMO). The IMO does not maintain its own classification — it defers to the UN lists reproduced here.</t>
  </si>
  <si>
    <t>Categories covered</t>
  </si>
  <si>
    <t>Developed</t>
  </si>
  <si>
    <t>UN DESA WESP 2026 Table A (G7, EU-27, Iceland, Norway, Switzerland, UK, Australia, Japan, New Zealand, Republic of Korea)</t>
  </si>
  <si>
    <t>Economy in Transition</t>
  </si>
  <si>
    <t>UN DESA WESP 2026 Table B (South-Eastern Europe, CIS and Georgia). Included for completeness — not part of the five main categories.</t>
  </si>
  <si>
    <t>Developing (Other)</t>
  </si>
  <si>
    <t>UN DESA WESP 2026 Table C — developing economies that are NOT on the LDC or SIDS lists.</t>
  </si>
  <si>
    <t>LDC only</t>
  </si>
  <si>
    <t>UN-OHRLLS list of Least Developed Countries, excluding those also on the SIDS list.</t>
  </si>
  <si>
    <t>SIDS only</t>
  </si>
  <si>
    <t>UN-OHRLLS list of Small Island Developing States, excluding those also on the LDC list.</t>
  </si>
  <si>
    <t>SIDS + LDC (Dual Status)</t>
  </si>
  <si>
    <t>Countries on BOTH the UN-OHRLLS LDC list AND the UN-OHRLLS SIDS list.</t>
  </si>
  <si>
    <t>Headline counts</t>
  </si>
  <si>
    <t>Developed economies</t>
  </si>
  <si>
    <t>WESP 2026 Table A</t>
  </si>
  <si>
    <t>Economies in transition</t>
  </si>
  <si>
    <t>WESP 2026 Table B</t>
  </si>
  <si>
    <t>Least Developed Countries (LDCs)</t>
  </si>
  <si>
    <t>OHRLLS LDC list (as at Dec 2025)</t>
  </si>
  <si>
    <t>Small Island Developing States (UN members/observers)</t>
  </si>
  <si>
    <t>OHRLLS SIDS list</t>
  </si>
  <si>
    <t xml:space="preserve">     of which: Dual status (SIDS + LDC)</t>
  </si>
  <si>
    <t>Intersection of the two OHRLLS lists</t>
  </si>
  <si>
    <t xml:space="preserve">     LDC only (not SIDS)</t>
  </si>
  <si>
    <t>44 LDCs − 7 dual</t>
  </si>
  <si>
    <t xml:space="preserve">     SIDS only (not LDC)</t>
  </si>
  <si>
    <t>39 SIDS − 7 dual</t>
  </si>
  <si>
    <t>SIDS Associate Members (dependent territories)</t>
  </si>
  <si>
    <t>OHRLLS SIDS list (excludes Cook Islands &amp; Niue — placed with SIDS)</t>
  </si>
  <si>
    <t>Sheet index</t>
  </si>
  <si>
    <t>Cover</t>
  </si>
  <si>
    <t>This sheet.</t>
  </si>
  <si>
    <t>Country List</t>
  </si>
  <si>
    <t>One row per country/territory with all classification flags.</t>
  </si>
  <si>
    <t>LDCs</t>
  </si>
  <si>
    <t>Filtered list of the 44 UN Least Developed Countries.</t>
  </si>
  <si>
    <t>SIDS</t>
  </si>
  <si>
    <t>Filtered list of UN Small Island Developing States.</t>
  </si>
  <si>
    <t>Dual Status</t>
  </si>
  <si>
    <t>Countries with both LDC and SIDS status.</t>
  </si>
  <si>
    <t>Associate Members</t>
  </si>
  <si>
    <t>SIDS Associate Members of UN Regional Commissions.</t>
  </si>
  <si>
    <t>IMO Members</t>
  </si>
  <si>
    <t>IMO membership status plus MARPOL Annex VI ratification, hydrocarbon-dependence, renewable potential, landlocked and Francophone flags for every UN country + Cook Islands.</t>
  </si>
  <si>
    <t>References</t>
  </si>
  <si>
    <t>All UN, IMO, UN-OHRLLS, OIF and IRENA sources with clickable hyperlinks.</t>
  </si>
  <si>
    <t>Methodology notes</t>
  </si>
  <si>
    <t>1. Developed / developing / economy in transition classifications follow UN DESA WESP 2026 (analytical groupings).</t>
  </si>
  <si>
    <t>2. The LDC list is legally established by UN ECOSOC and the General Assembly on recommendation of the Committee for Development Policy (CDP).</t>
  </si>
  <si>
    <t>3. The SIDS list is maintained by UN-OHRLLS; SIDS are a distinct group first recognised at the 1992 Rio Earth Summit.</t>
  </si>
  <si>
    <t>4. 'LDC only' and 'SIDS only' are not separate official lists — they are derived by intersecting the two OHRLLS lists.</t>
  </si>
  <si>
    <t>5. IMO references: the 2023 IMO GHG Strategy (Res. MEPC.377(80)) and the Revised Impact-Assessment Procedure (MEPC.1/Circ.885/Rev.1) both refer to LDCs and SIDS using the UN-OHRLLS definitions. The IMO does not publish its own list.</t>
  </si>
  <si>
    <t>6. Counts are accurate as at the sources' most recent revisions (WESP January 2026; OHRLLS LDC list December 2025). LDC graduations scheduled for 2026–2029 are flagged in UNCTAD's list (see References).</t>
  </si>
  <si>
    <t>7. IMO Members sheet: flags are compiled from (a) the IMO Member States list [Ref. 12]; (b) IMO Status of Conventions 09 Dec 2025 [Ref. 11] for MARPOL Annex VI — users should verify individual entries against the primary IMO document; (c) WESP 2026 Table D [Ref. 13] for hydrocarbon-dependent; (d) UN-OHRLLS LLDC list [Ref. 14] plus landlocked developed/transition states; (e) OIF official list [Ref. 15] for Francophone status; (f) IRENA publications [Ref. 16] for indicative Renewable Energy Potential tiering (working indicator, not a formal classification).</t>
  </si>
  <si>
    <t>8. The 'IMO Tier' column on the IMO Members sheet reflects the five-group classification used in some IMO seat-allocation analyses: Developed (37 WESP + 5 South-Eastern Europe = 42) / SIDS only / Dual status / LDCs only / Other developing. This treats South-Eastern Europe as Developed, which extends the strict WESP definition (SEE is classified as 'economies in transition' by UN DESA).</t>
  </si>
  <si>
    <t>Compiled from UN DESA, UN-OHRLLS, UNCTAD and IMO sources. See References sheet for full citations.</t>
  </si>
  <si>
    <t>Country</t>
  </si>
  <si>
    <t>ISO-3</t>
  </si>
  <si>
    <t>Region (WESP 2026)</t>
  </si>
  <si>
    <t>Primary Status</t>
  </si>
  <si>
    <t>LDC</t>
  </si>
  <si>
    <t>Final Classification</t>
  </si>
  <si>
    <t>Source Table(s)</t>
  </si>
  <si>
    <t>Totals</t>
  </si>
  <si>
    <t>Count</t>
  </si>
  <si>
    <t>Australia</t>
  </si>
  <si>
    <t>AUS</t>
  </si>
  <si>
    <t>Developed Asia and the Pacific</t>
  </si>
  <si>
    <t>No</t>
  </si>
  <si>
    <t>Austria</t>
  </si>
  <si>
    <t>AUT</t>
  </si>
  <si>
    <t>Europe (EU)</t>
  </si>
  <si>
    <t>Belgium</t>
  </si>
  <si>
    <t>BEL</t>
  </si>
  <si>
    <t>Bulgaria</t>
  </si>
  <si>
    <t>BGR</t>
  </si>
  <si>
    <t>Canada</t>
  </si>
  <si>
    <t>CAN</t>
  </si>
  <si>
    <t>Northern America</t>
  </si>
  <si>
    <t>Croatia</t>
  </si>
  <si>
    <t>HRV</t>
  </si>
  <si>
    <t>Cyprus</t>
  </si>
  <si>
    <t>CYP</t>
  </si>
  <si>
    <t>Total</t>
  </si>
  <si>
    <t>Czechia</t>
  </si>
  <si>
    <t>CZE</t>
  </si>
  <si>
    <t>Denmark</t>
  </si>
  <si>
    <t>DNK</t>
  </si>
  <si>
    <t>Estonia</t>
  </si>
  <si>
    <t>EST</t>
  </si>
  <si>
    <t>Finland</t>
  </si>
  <si>
    <t>FIN</t>
  </si>
  <si>
    <t>France</t>
  </si>
  <si>
    <t>FRA</t>
  </si>
  <si>
    <t>Germany</t>
  </si>
  <si>
    <t>DEU</t>
  </si>
  <si>
    <t>Greece</t>
  </si>
  <si>
    <t>GRC</t>
  </si>
  <si>
    <t>Hungary</t>
  </si>
  <si>
    <t>HUN</t>
  </si>
  <si>
    <t>Iceland</t>
  </si>
  <si>
    <t>ISL</t>
  </si>
  <si>
    <t>Other Europe</t>
  </si>
  <si>
    <t>Ireland</t>
  </si>
  <si>
    <t>IRL</t>
  </si>
  <si>
    <t>Italy</t>
  </si>
  <si>
    <t>ITA</t>
  </si>
  <si>
    <t>Japan</t>
  </si>
  <si>
    <t>JPN</t>
  </si>
  <si>
    <t>Latvia</t>
  </si>
  <si>
    <t>LVA</t>
  </si>
  <si>
    <t>Lithuania</t>
  </si>
  <si>
    <t>LTU</t>
  </si>
  <si>
    <t>Luxembourg</t>
  </si>
  <si>
    <t>LUX</t>
  </si>
  <si>
    <t>Malta</t>
  </si>
  <si>
    <t>MLT</t>
  </si>
  <si>
    <t>Netherlands (Kingdom of the)</t>
  </si>
  <si>
    <t>NLD</t>
  </si>
  <si>
    <t>New Zealand</t>
  </si>
  <si>
    <t>NZL</t>
  </si>
  <si>
    <t>Norway</t>
  </si>
  <si>
    <t>NOR</t>
  </si>
  <si>
    <t>Poland</t>
  </si>
  <si>
    <t>POL</t>
  </si>
  <si>
    <t>Portugal</t>
  </si>
  <si>
    <t>PRT</t>
  </si>
  <si>
    <t>Republic of Korea</t>
  </si>
  <si>
    <t>KOR</t>
  </si>
  <si>
    <t>Romania</t>
  </si>
  <si>
    <t>ROU</t>
  </si>
  <si>
    <t>Slovakia</t>
  </si>
  <si>
    <t>SVK</t>
  </si>
  <si>
    <t>Slovenia</t>
  </si>
  <si>
    <t>SVN</t>
  </si>
  <si>
    <t>Spain</t>
  </si>
  <si>
    <t>ESP</t>
  </si>
  <si>
    <t>Sweden</t>
  </si>
  <si>
    <t>SWE</t>
  </si>
  <si>
    <t>Switzerland</t>
  </si>
  <si>
    <t>CHE</t>
  </si>
  <si>
    <t>United Kingdom</t>
  </si>
  <si>
    <t>GBR</t>
  </si>
  <si>
    <t>United States</t>
  </si>
  <si>
    <t>USA</t>
  </si>
  <si>
    <t>Albania</t>
  </si>
  <si>
    <t>ALB</t>
  </si>
  <si>
    <t>South-Eastern Europe</t>
  </si>
  <si>
    <t>Armenia</t>
  </si>
  <si>
    <t>ARM</t>
  </si>
  <si>
    <t>CIS and Georgia</t>
  </si>
  <si>
    <t>Azerbaijan</t>
  </si>
  <si>
    <t>AZE</t>
  </si>
  <si>
    <t>Belarus</t>
  </si>
  <si>
    <t>BLR</t>
  </si>
  <si>
    <t>Bosnia and Herzegovina</t>
  </si>
  <si>
    <t>BIH</t>
  </si>
  <si>
    <t>Georgia</t>
  </si>
  <si>
    <t>GEO</t>
  </si>
  <si>
    <t>Kazakhstan</t>
  </si>
  <si>
    <t>KAZ</t>
  </si>
  <si>
    <t>Kyrgyzstan</t>
  </si>
  <si>
    <t>KGZ</t>
  </si>
  <si>
    <t>Montenegro</t>
  </si>
  <si>
    <t>MNE</t>
  </si>
  <si>
    <t>North Macedonia</t>
  </si>
  <si>
    <t>MKD</t>
  </si>
  <si>
    <t>Republic of Moldova</t>
  </si>
  <si>
    <t>MDA</t>
  </si>
  <si>
    <t>Russian Federation</t>
  </si>
  <si>
    <t>RUS</t>
  </si>
  <si>
    <t>Serbia</t>
  </si>
  <si>
    <t>SRB</t>
  </si>
  <si>
    <t>Tajikistan</t>
  </si>
  <si>
    <t>TJK</t>
  </si>
  <si>
    <t>Turkmenistan</t>
  </si>
  <si>
    <t>TKM</t>
  </si>
  <si>
    <t>Ukraine</t>
  </si>
  <si>
    <t>UKR</t>
  </si>
  <si>
    <t>Uzbekistan</t>
  </si>
  <si>
    <t>UZB</t>
  </si>
  <si>
    <t>Comoros</t>
  </si>
  <si>
    <t>COM</t>
  </si>
  <si>
    <t>East Africa</t>
  </si>
  <si>
    <t>Developing</t>
  </si>
  <si>
    <t>Yes</t>
  </si>
  <si>
    <t>WESP 2026 Tables C, F, G; OHRLLS LDC &amp; SIDS lists</t>
  </si>
  <si>
    <t>Guinea-Bissau</t>
  </si>
  <si>
    <t>GNB</t>
  </si>
  <si>
    <t>West Africa</t>
  </si>
  <si>
    <t>Haiti</t>
  </si>
  <si>
    <t>HTI</t>
  </si>
  <si>
    <t>Mexico and Central America</t>
  </si>
  <si>
    <t>Kiribati</t>
  </si>
  <si>
    <t>KIR</t>
  </si>
  <si>
    <t>East Asia</t>
  </si>
  <si>
    <t>Solomon Islands</t>
  </si>
  <si>
    <t>SLB</t>
  </si>
  <si>
    <t>Timor-Leste</t>
  </si>
  <si>
    <t>TLS</t>
  </si>
  <si>
    <t>Tuvalu</t>
  </si>
  <si>
    <t>TUV</t>
  </si>
  <si>
    <t>Pacific (SIDS)</t>
  </si>
  <si>
    <t>WESP 2026 Tables F, G; OHRLLS LDC &amp; SIDS lists</t>
  </si>
  <si>
    <t>Afghanistan</t>
  </si>
  <si>
    <t>AFG</t>
  </si>
  <si>
    <t>South Asia</t>
  </si>
  <si>
    <t>WESP 2026 Tables C, F; OHRLLS LDC list</t>
  </si>
  <si>
    <t>Angola</t>
  </si>
  <si>
    <t>AGO</t>
  </si>
  <si>
    <t>Southern Africa</t>
  </si>
  <si>
    <t>Bangladesh</t>
  </si>
  <si>
    <t>BGD</t>
  </si>
  <si>
    <t>Benin</t>
  </si>
  <si>
    <t>BEN</t>
  </si>
  <si>
    <t>Burkina Faso</t>
  </si>
  <si>
    <t>BFA</t>
  </si>
  <si>
    <t>Burundi</t>
  </si>
  <si>
    <t>BDI</t>
  </si>
  <si>
    <t>Cambodia</t>
  </si>
  <si>
    <t>KHM</t>
  </si>
  <si>
    <t>Central African Republic</t>
  </si>
  <si>
    <t>CAF</t>
  </si>
  <si>
    <t>Central Africa</t>
  </si>
  <si>
    <t>Chad</t>
  </si>
  <si>
    <t>TCD</t>
  </si>
  <si>
    <t>Democratic Republic of the Congo</t>
  </si>
  <si>
    <t>COD</t>
  </si>
  <si>
    <t>Djibouti</t>
  </si>
  <si>
    <t>DJI</t>
  </si>
  <si>
    <t>Eritrea</t>
  </si>
  <si>
    <t>ERI</t>
  </si>
  <si>
    <t>Ethiopia</t>
  </si>
  <si>
    <t>ETH</t>
  </si>
  <si>
    <t>Gambia</t>
  </si>
  <si>
    <t>GMB</t>
  </si>
  <si>
    <t>Guinea</t>
  </si>
  <si>
    <t>GIN</t>
  </si>
  <si>
    <t>Lao People's Democratic Republic</t>
  </si>
  <si>
    <t>LAO</t>
  </si>
  <si>
    <t>Lesotho</t>
  </si>
  <si>
    <t>LSO</t>
  </si>
  <si>
    <t>Liberia</t>
  </si>
  <si>
    <t>LBR</t>
  </si>
  <si>
    <t>Madagascar</t>
  </si>
  <si>
    <t>MDG</t>
  </si>
  <si>
    <t>Malawi</t>
  </si>
  <si>
    <t>MWI</t>
  </si>
  <si>
    <t>Mali</t>
  </si>
  <si>
    <t>MLI</t>
  </si>
  <si>
    <t>Mauritania</t>
  </si>
  <si>
    <t>MRT</t>
  </si>
  <si>
    <t>North Africa</t>
  </si>
  <si>
    <t>Mozambique</t>
  </si>
  <si>
    <t>MOZ</t>
  </si>
  <si>
    <t>Myanmar</t>
  </si>
  <si>
    <t>MMR</t>
  </si>
  <si>
    <t>Nepal</t>
  </si>
  <si>
    <t>NPL</t>
  </si>
  <si>
    <t>Niger</t>
  </si>
  <si>
    <t>NER</t>
  </si>
  <si>
    <t>Rwanda</t>
  </si>
  <si>
    <t>RWA</t>
  </si>
  <si>
    <t>Senegal</t>
  </si>
  <si>
    <t>SEN</t>
  </si>
  <si>
    <t>Sierra Leone</t>
  </si>
  <si>
    <t>SLE</t>
  </si>
  <si>
    <t>Somalia</t>
  </si>
  <si>
    <t>SOM</t>
  </si>
  <si>
    <t>South Sudan</t>
  </si>
  <si>
    <t>SSD</t>
  </si>
  <si>
    <t>Sudan</t>
  </si>
  <si>
    <t>SDN</t>
  </si>
  <si>
    <t>Togo</t>
  </si>
  <si>
    <t>TGO</t>
  </si>
  <si>
    <t>Uganda</t>
  </si>
  <si>
    <t>UGA</t>
  </si>
  <si>
    <t>United Republic of Tanzania</t>
  </si>
  <si>
    <t>TZA</t>
  </si>
  <si>
    <t>Yemen</t>
  </si>
  <si>
    <t>YEM</t>
  </si>
  <si>
    <t>Western Asia</t>
  </si>
  <si>
    <t>Zambia</t>
  </si>
  <si>
    <t>ZMB</t>
  </si>
  <si>
    <t>Antigua and Barbuda</t>
  </si>
  <si>
    <t>ATG</t>
  </si>
  <si>
    <t>Caribbean</t>
  </si>
  <si>
    <t>WESP 2026 Table G; OHRLLS SIDS list</t>
  </si>
  <si>
    <t>Bahamas</t>
  </si>
  <si>
    <t>BHS</t>
  </si>
  <si>
    <t>WESP 2026 Tables C, G; OHRLLS SIDS list</t>
  </si>
  <si>
    <t>Barbados</t>
  </si>
  <si>
    <t>BRB</t>
  </si>
  <si>
    <t>Belize</t>
  </si>
  <si>
    <t>BLZ</t>
  </si>
  <si>
    <t>Cabo Verde</t>
  </si>
  <si>
    <t>CPV</t>
  </si>
  <si>
    <t>Cook Islands</t>
  </si>
  <si>
    <t>COK</t>
  </si>
  <si>
    <t>Pacific (SIDS, non-UN member)</t>
  </si>
  <si>
    <t>OHRLLS SIDS list; WESP 2026 Table G (Associate Member)</t>
  </si>
  <si>
    <t>Cuba</t>
  </si>
  <si>
    <t>CUB</t>
  </si>
  <si>
    <t>Dominica</t>
  </si>
  <si>
    <t>DMA</t>
  </si>
  <si>
    <t>Dominican Republic</t>
  </si>
  <si>
    <t>DOM</t>
  </si>
  <si>
    <t>Federated States of Micronesia</t>
  </si>
  <si>
    <t>FSM</t>
  </si>
  <si>
    <t>Fiji</t>
  </si>
  <si>
    <t>FJI</t>
  </si>
  <si>
    <t>Grenada</t>
  </si>
  <si>
    <t>GRD</t>
  </si>
  <si>
    <t>Guyana</t>
  </si>
  <si>
    <t>GUY</t>
  </si>
  <si>
    <t>Jamaica</t>
  </si>
  <si>
    <t>JAM</t>
  </si>
  <si>
    <t>Maldives</t>
  </si>
  <si>
    <t>MDV</t>
  </si>
  <si>
    <t>Marshall Islands</t>
  </si>
  <si>
    <t>MHL</t>
  </si>
  <si>
    <t>Mauritius</t>
  </si>
  <si>
    <t>MUS</t>
  </si>
  <si>
    <t>Nauru</t>
  </si>
  <si>
    <t>NRU</t>
  </si>
  <si>
    <t>Niue</t>
  </si>
  <si>
    <t>NIU</t>
  </si>
  <si>
    <t>Palau</t>
  </si>
  <si>
    <t>PLW</t>
  </si>
  <si>
    <t>Papua New Guinea</t>
  </si>
  <si>
    <t>PNG</t>
  </si>
  <si>
    <t>Saint Kitts and Nevis</t>
  </si>
  <si>
    <t>KNA</t>
  </si>
  <si>
    <t>Saint Lucia</t>
  </si>
  <si>
    <t>LCA</t>
  </si>
  <si>
    <t>Saint Vincent and the Grenadines</t>
  </si>
  <si>
    <t>VCT</t>
  </si>
  <si>
    <t>Samoa</t>
  </si>
  <si>
    <t>WSM</t>
  </si>
  <si>
    <t>Sao Tome and Principe</t>
  </si>
  <si>
    <t>STP</t>
  </si>
  <si>
    <t>Seychelles</t>
  </si>
  <si>
    <t>SYC</t>
  </si>
  <si>
    <t>AIMS (SIDS)</t>
  </si>
  <si>
    <t>Singapore</t>
  </si>
  <si>
    <t>SGP</t>
  </si>
  <si>
    <t>Suriname</t>
  </si>
  <si>
    <t>SUR</t>
  </si>
  <si>
    <t>Tonga</t>
  </si>
  <si>
    <t>TON</t>
  </si>
  <si>
    <t>Trinidad and Tobago</t>
  </si>
  <si>
    <t>TTO</t>
  </si>
  <si>
    <t>Vanuatu</t>
  </si>
  <si>
    <t>VUT</t>
  </si>
  <si>
    <t>Algeria</t>
  </si>
  <si>
    <t>DZA</t>
  </si>
  <si>
    <t>WESP 2026 Table C</t>
  </si>
  <si>
    <t>Andorra</t>
  </si>
  <si>
    <t>AND</t>
  </si>
  <si>
    <t>Europe (micro-state)</t>
  </si>
  <si>
    <t>UN member; not in WESP analytical tables; non-IMO; landlocked</t>
  </si>
  <si>
    <t>Argentina</t>
  </si>
  <si>
    <t>ARG</t>
  </si>
  <si>
    <t>South America</t>
  </si>
  <si>
    <t>Bahrain</t>
  </si>
  <si>
    <t>BHR</t>
  </si>
  <si>
    <t>Bhutan</t>
  </si>
  <si>
    <t>BTN</t>
  </si>
  <si>
    <t>Bolivia (Plurinational State of)</t>
  </si>
  <si>
    <t>BOL</t>
  </si>
  <si>
    <t>Botswana</t>
  </si>
  <si>
    <t>BWA</t>
  </si>
  <si>
    <t>Brazil</t>
  </si>
  <si>
    <t>BRA</t>
  </si>
  <si>
    <t>Brunei Darussalam</t>
  </si>
  <si>
    <t>BRN</t>
  </si>
  <si>
    <t>Cameroon</t>
  </si>
  <si>
    <t>CMR</t>
  </si>
  <si>
    <t>Chile</t>
  </si>
  <si>
    <t>CHL</t>
  </si>
  <si>
    <t>China</t>
  </si>
  <si>
    <t>CHN</t>
  </si>
  <si>
    <t>Colombia</t>
  </si>
  <si>
    <t>COL</t>
  </si>
  <si>
    <t>Congo</t>
  </si>
  <si>
    <t>COG</t>
  </si>
  <si>
    <t>Costa Rica</t>
  </si>
  <si>
    <t>CRI</t>
  </si>
  <si>
    <t>Côte d'Ivoire</t>
  </si>
  <si>
    <t>CIV</t>
  </si>
  <si>
    <t>Democratic People's Republic of Korea</t>
  </si>
  <si>
    <t>PRK</t>
  </si>
  <si>
    <t>Ecuador</t>
  </si>
  <si>
    <t>ECU</t>
  </si>
  <si>
    <t>Egypt</t>
  </si>
  <si>
    <t>EGY</t>
  </si>
  <si>
    <t>El Salvador</t>
  </si>
  <si>
    <t>SLV</t>
  </si>
  <si>
    <t>Equatorial Guinea</t>
  </si>
  <si>
    <t>GNQ</t>
  </si>
  <si>
    <t>Eswatini</t>
  </si>
  <si>
    <t>SWZ</t>
  </si>
  <si>
    <t>Gabon</t>
  </si>
  <si>
    <t>GAB</t>
  </si>
  <si>
    <t>Ghana</t>
  </si>
  <si>
    <t>GHA</t>
  </si>
  <si>
    <t>Guatemala</t>
  </si>
  <si>
    <t>GTM</t>
  </si>
  <si>
    <t>Honduras</t>
  </si>
  <si>
    <t>HND</t>
  </si>
  <si>
    <t>Hong Kong SAR</t>
  </si>
  <si>
    <t>HKG</t>
  </si>
  <si>
    <t>WESP 2026 Table C (Special Administrative Region of China)</t>
  </si>
  <si>
    <t>India</t>
  </si>
  <si>
    <t>IND</t>
  </si>
  <si>
    <t>Indonesia</t>
  </si>
  <si>
    <t>IDN</t>
  </si>
  <si>
    <t>Iran (Islamic Republic of)</t>
  </si>
  <si>
    <t>IRN</t>
  </si>
  <si>
    <t>Iraq</t>
  </si>
  <si>
    <t>IRQ</t>
  </si>
  <si>
    <t>Israel</t>
  </si>
  <si>
    <t>ISR</t>
  </si>
  <si>
    <t>Jordan</t>
  </si>
  <si>
    <t>JOR</t>
  </si>
  <si>
    <t>Kenya</t>
  </si>
  <si>
    <t>KEN</t>
  </si>
  <si>
    <t>Kuwait</t>
  </si>
  <si>
    <t>KWT</t>
  </si>
  <si>
    <t>Lebanon</t>
  </si>
  <si>
    <t>LBN</t>
  </si>
  <si>
    <t>Libya</t>
  </si>
  <si>
    <t>LBY</t>
  </si>
  <si>
    <t>Liechtenstein</t>
  </si>
  <si>
    <t>LIE</t>
  </si>
  <si>
    <t>Malaysia</t>
  </si>
  <si>
    <t>MYS</t>
  </si>
  <si>
    <t>Mexico</t>
  </si>
  <si>
    <t>MEX</t>
  </si>
  <si>
    <t>Monaco</t>
  </si>
  <si>
    <t>MCO</t>
  </si>
  <si>
    <t>UN member; not in WESP analytical tables; IMO member</t>
  </si>
  <si>
    <t>Mongolia</t>
  </si>
  <si>
    <t>MNG</t>
  </si>
  <si>
    <t>Morocco</t>
  </si>
  <si>
    <t>MAR</t>
  </si>
  <si>
    <t>Namibia</t>
  </si>
  <si>
    <t>NAM</t>
  </si>
  <si>
    <t>Nicaragua</t>
  </si>
  <si>
    <t>NIC</t>
  </si>
  <si>
    <t>Nigeria</t>
  </si>
  <si>
    <t>NGA</t>
  </si>
  <si>
    <t>Oman</t>
  </si>
  <si>
    <t>OMN</t>
  </si>
  <si>
    <t>Pakistan</t>
  </si>
  <si>
    <t>PAK</t>
  </si>
  <si>
    <t>Panama</t>
  </si>
  <si>
    <t>PAN</t>
  </si>
  <si>
    <t>Paraguay</t>
  </si>
  <si>
    <t>PRY</t>
  </si>
  <si>
    <t>Peru</t>
  </si>
  <si>
    <t>PER</t>
  </si>
  <si>
    <t>Philippines</t>
  </si>
  <si>
    <t>PHL</t>
  </si>
  <si>
    <t>Qatar</t>
  </si>
  <si>
    <t>QAT</t>
  </si>
  <si>
    <t>San Marino</t>
  </si>
  <si>
    <t>SMR</t>
  </si>
  <si>
    <t>UN member; not in WESP analytical tables; IMO member (acceded 2021); landlocked</t>
  </si>
  <si>
    <t>Saudi Arabia</t>
  </si>
  <si>
    <t>SAU</t>
  </si>
  <si>
    <t>South Africa</t>
  </si>
  <si>
    <t>ZAF</t>
  </si>
  <si>
    <t>Sri Lanka</t>
  </si>
  <si>
    <t>LKA</t>
  </si>
  <si>
    <t>State of Palestine</t>
  </si>
  <si>
    <t>PSE</t>
  </si>
  <si>
    <t>Syrian Arab Republic</t>
  </si>
  <si>
    <t>SYR</t>
  </si>
  <si>
    <t>Taiwan Province of China</t>
  </si>
  <si>
    <t>TWN</t>
  </si>
  <si>
    <t>Thailand</t>
  </si>
  <si>
    <t>THA</t>
  </si>
  <si>
    <t>Tunisia</t>
  </si>
  <si>
    <t>TUN</t>
  </si>
  <si>
    <t>Türkiye</t>
  </si>
  <si>
    <t>TUR</t>
  </si>
  <si>
    <t>United Arab Emirates</t>
  </si>
  <si>
    <t>ARE</t>
  </si>
  <si>
    <t>Uruguay</t>
  </si>
  <si>
    <t>URY</t>
  </si>
  <si>
    <t>Venezuela (Bolivarian Republic of)</t>
  </si>
  <si>
    <t>VEN</t>
  </si>
  <si>
    <t>Viet Nam</t>
  </si>
  <si>
    <t>VNM</t>
  </si>
  <si>
    <t>Zimbabwe</t>
  </si>
  <si>
    <t>ZWE</t>
  </si>
  <si>
    <t>Least Developed Countries (LDCs) — 44 countries</t>
  </si>
  <si>
    <t>Source: UN-OHRLLS (list as at December 2025) and WESP 2026 Table F. See References sheet.</t>
  </si>
  <si>
    <t>#</t>
  </si>
  <si>
    <t>Region</t>
  </si>
  <si>
    <t>Dual Status (SIDS + LDC)</t>
  </si>
  <si>
    <t>Yes — also SIDS</t>
  </si>
  <si>
    <t>Small Island Developing States (SIDS)</t>
  </si>
  <si>
    <t>Source: UN-OHRLLS list of SIDS and WESP 2026 Table G. See References sheet.</t>
  </si>
  <si>
    <t>Country / Territory</t>
  </si>
  <si>
    <t>Yes — also LDC</t>
  </si>
  <si>
    <t>Dual Status Countries (SIDS + LDC)</t>
  </si>
  <si>
    <t>Countries on BOTH the UN-OHRLLS LDC list and the UN-OHRLLS SIDS list.</t>
  </si>
  <si>
    <t>SIDS Associate Members of UN Regional Commissions</t>
  </si>
  <si>
    <t>Dependent territories recognised as SIDS by UN-OHRLLS and WESP 2026 Table G — NOT UN member states.</t>
  </si>
  <si>
    <t>Territory</t>
  </si>
  <si>
    <t>Status</t>
  </si>
  <si>
    <t>American Samoa</t>
  </si>
  <si>
    <t>ASM</t>
  </si>
  <si>
    <t>Pacific</t>
  </si>
  <si>
    <t>Dependent Territory (US)</t>
  </si>
  <si>
    <t>Anguilla</t>
  </si>
  <si>
    <t>AIA</t>
  </si>
  <si>
    <t>Dependent Territory (UK)</t>
  </si>
  <si>
    <t>Aruba</t>
  </si>
  <si>
    <t>ABW</t>
  </si>
  <si>
    <t>Constituent country (Kingdom of the Netherlands)</t>
  </si>
  <si>
    <t>Bermuda</t>
  </si>
  <si>
    <t>BMU</t>
  </si>
  <si>
    <t>Atlantic</t>
  </si>
  <si>
    <t>British Virgin Islands</t>
  </si>
  <si>
    <t>VGB</t>
  </si>
  <si>
    <t>Cayman Islands</t>
  </si>
  <si>
    <t>CYM</t>
  </si>
  <si>
    <t>Commonwealth of Northern Marianas</t>
  </si>
  <si>
    <t>MNP</t>
  </si>
  <si>
    <t>Curaçao</t>
  </si>
  <si>
    <t>CUW</t>
  </si>
  <si>
    <t>French Polynesia</t>
  </si>
  <si>
    <t>PYF</t>
  </si>
  <si>
    <t>Dependent Territory (France)</t>
  </si>
  <si>
    <t>Guadeloupe</t>
  </si>
  <si>
    <t>GLP</t>
  </si>
  <si>
    <t>Overseas department (France)</t>
  </si>
  <si>
    <t>Guam</t>
  </si>
  <si>
    <t>GUM</t>
  </si>
  <si>
    <t>Martinique</t>
  </si>
  <si>
    <t>MTQ</t>
  </si>
  <si>
    <t>Montserrat</t>
  </si>
  <si>
    <t>MSR</t>
  </si>
  <si>
    <t>New Caledonia</t>
  </si>
  <si>
    <t>NCL</t>
  </si>
  <si>
    <t>Puerto Rico</t>
  </si>
  <si>
    <t>PRI</t>
  </si>
  <si>
    <t>Sint Maarten</t>
  </si>
  <si>
    <t>SXM</t>
  </si>
  <si>
    <t>Turks and Caicos Islands</t>
  </si>
  <si>
    <t>TCA</t>
  </si>
  <si>
    <t>U.S. Virgin Islands</t>
  </si>
  <si>
    <t>VIR</t>
  </si>
  <si>
    <t>IMO Member States — extended flags</t>
  </si>
  <si>
    <t>176 IMO Member States (175 UN members + Cook Islands), plus 18 UN members that are NOT IMO members (marked as such). Columns show IMO membership, MARPOL Annex VI ratification status, hydrocarbon-dependence, indicative renewable energy potential, landlocked status and Francophonie (OIF) membership.</t>
  </si>
  <si>
    <t>Caveats: (1) MARPOL Annex VI status is indicative as at late 2025 — verify individual entries against IMO Status of Conventions, 09 Dec 2025 [Ref. 11]. (2) Renewable Energy Potential is a qualitative working indicator (High / Medium / Low), informed by IRENA country assessments and geographic endowment; it is NOT a formal UN/IMO classification.</t>
  </si>
  <si>
    <t>IMO Member</t>
  </si>
  <si>
    <t>IMO Tier (seat-allocation)</t>
  </si>
  <si>
    <t>MARPOL Annex VI</t>
  </si>
  <si>
    <t>Hydrocarbon-dependent</t>
  </si>
  <si>
    <t>Renewable Energy Potential</t>
  </si>
  <si>
    <t>Landlocked</t>
  </si>
  <si>
    <t>Francophone (OIF)</t>
  </si>
  <si>
    <t>Source / Notes</t>
  </si>
  <si>
    <t>Summary counts</t>
  </si>
  <si>
    <t>n/a (non-IMO)</t>
  </si>
  <si>
    <t>Medium</t>
  </si>
  <si>
    <t>Non-IMO; landlocked</t>
  </si>
  <si>
    <t>IMO Member States (total)</t>
  </si>
  <si>
    <t>Developed (SEE; reclassified from Economies in Transition)</t>
  </si>
  <si>
    <t>Party</t>
  </si>
  <si>
    <t>Full member</t>
  </si>
  <si>
    <t>Non-IMO UN States</t>
  </si>
  <si>
    <t>Other developing</t>
  </si>
  <si>
    <t>High</t>
  </si>
  <si>
    <t>Developed (incl. SEE)</t>
  </si>
  <si>
    <t>Low</t>
  </si>
  <si>
    <t>SIDS only (IMO)</t>
  </si>
  <si>
    <t>LDCs only</t>
  </si>
  <si>
    <t>Not Party</t>
  </si>
  <si>
    <t>Dual status (SIDS + LDC)</t>
  </si>
  <si>
    <t>LDCs only (IMO)</t>
  </si>
  <si>
    <t>Observer</t>
  </si>
  <si>
    <t>Other developing (IMO)</t>
  </si>
  <si>
    <t>MARPOL Annex VI Parties</t>
  </si>
  <si>
    <t>MARPOL Annex VI NOT Parties (IMO members)</t>
  </si>
  <si>
    <t>Hydrocarbon-dependent (fuel exporters)</t>
  </si>
  <si>
    <t>Landlocked economies</t>
  </si>
  <si>
    <t>Francophone (Full OIF members)</t>
  </si>
  <si>
    <t>Francophone (Associate)</t>
  </si>
  <si>
    <t>Francophone (Observer)</t>
  </si>
  <si>
    <t>Francophone (Withdrew 2025)</t>
  </si>
  <si>
    <t>Withdrawn 2025</t>
  </si>
  <si>
    <t>Yes (non-UN)</t>
  </si>
  <si>
    <t>Associate</t>
  </si>
  <si>
    <t>Non-IMO</t>
  </si>
  <si>
    <t>Non-UN, non-IMO (OHRLLS SIDS)</t>
  </si>
  <si>
    <t>← Back to Cover</t>
  </si>
  <si>
    <t>References &amp; Citations</t>
  </si>
  <si>
    <t>All entries below link directly to the cited authoritative UN or IMO source. Click the URL cell to open.</t>
  </si>
  <si>
    <t>Ref. #</t>
  </si>
  <si>
    <t>Source Type</t>
  </si>
  <si>
    <t>Title</t>
  </si>
  <si>
    <t>Issuing Body</t>
  </si>
  <si>
    <t>Date / Version</t>
  </si>
  <si>
    <t>URL (click to open)</t>
  </si>
  <si>
    <t>Description</t>
  </si>
  <si>
    <t>1</t>
  </si>
  <si>
    <t>Primary — UN DESA</t>
  </si>
  <si>
    <t>World Economic Situation and Prospects 2026, Statistical Annex</t>
  </si>
  <si>
    <t>United Nations Department of Economic and Social Affairs (UN DESA), Economic Analysis and Policy Division</t>
  </si>
  <si>
    <t>January 2026</t>
  </si>
  <si>
    <t>https://policy.desa.un.org/sites/default/files/2026-01/wesp2026_annex.pdf</t>
  </si>
  <si>
    <t>Contains Table A (Developed economies), Table B (Economies in transition), Table C (Developing economies by region), Table F (LDCs as at Dec 2025), Table G (SIDS).</t>
  </si>
  <si>
    <t>2</t>
  </si>
  <si>
    <t>Primary — UN-OHRLLS</t>
  </si>
  <si>
    <t>List of Least Developed Countries (LDCs)</t>
  </si>
  <si>
    <t>UN Office of the High Representative for the Least Developed Countries, Landlocked Developing Countries and Small Island Developing States (UN-OHRLLS)</t>
  </si>
  <si>
    <t>As at Dec 2025 (44 countries)</t>
  </si>
  <si>
    <t>https://www.un.org/ohrlls/content/list-ldcs</t>
  </si>
  <si>
    <t>Official UN list of Least Developed Countries, determined by UN ECOSOC/General Assembly on recommendation of the Committee for Development Policy (CDP).</t>
  </si>
  <si>
    <t>3</t>
  </si>
  <si>
    <t>List of Small Island Developing States (SIDS)</t>
  </si>
  <si>
    <t>Current version</t>
  </si>
  <si>
    <t>https://www.un.org/ohrlls/content/list-sids</t>
  </si>
  <si>
    <t>Official UN list of SIDS (39 UN members/observers + 20 Associate Members of UN Regional Commissions). Entries marked * indicate dual LDC status.</t>
  </si>
  <si>
    <t>4</t>
  </si>
  <si>
    <t>LDC Category — Criteria for Inclusion and Graduation</t>
  </si>
  <si>
    <t>UN Committee for Development Policy (CDP), UN DESA</t>
  </si>
  <si>
    <t>Triennial review (latest 2024)</t>
  </si>
  <si>
    <t>https://www.un.org/development/desa/dpad/least-developed-country-category.html</t>
  </si>
  <si>
    <t>Criteria and methodology for LDC classification (GNI per capita, Human Assets Index, Economic &amp; Environmental Vulnerability Index).</t>
  </si>
  <si>
    <t>5</t>
  </si>
  <si>
    <t>Primary — UNCTAD</t>
  </si>
  <si>
    <t>UN list of Least Developed Countries</t>
  </si>
  <si>
    <t>UN Conference on Trade and Development (UNCTAD)</t>
  </si>
  <si>
    <t>Current version with graduation schedule</t>
  </si>
  <si>
    <t>https://unctad.org/topic/least-developed-countries/list</t>
  </si>
  <si>
    <t>UNCTAD mirror of the UN LDC list, including graduation schedule (Bangladesh, Lao PDR, Nepal in 2026; Solomon Islands in 2027; Cambodia, Senegal in 2029).</t>
  </si>
  <si>
    <t>6</t>
  </si>
  <si>
    <t>Primary — IMO</t>
  </si>
  <si>
    <t>2023 IMO Strategy on Reduction of GHG Emissions from Ships (Resolution MEPC.377(80))</t>
  </si>
  <si>
    <t>International Maritime Organization (IMO), Marine Environment Protection Committee</t>
  </si>
  <si>
    <t>Adopted 7 July 2023 at MEPC 80</t>
  </si>
  <si>
    <t>https://www.imo.org/en/ourwork/environment/pages/2023-imo-strategy-on-reduction-of-ghg-emissions-from-ships.aspx</t>
  </si>
  <si>
    <t>IMO strategy that references LDC and SIDS categories; recognises the need for particular attention to impacts on developing countries, especially SIDS and LDCs.</t>
  </si>
  <si>
    <t>7</t>
  </si>
  <si>
    <t>Revised Procedure for Assessing Impacts on States of Candidate Measures (MEPC.1/Circ.885/Rev.1)</t>
  </si>
  <si>
    <t>Approved at MEPC 79, December 2022</t>
  </si>
  <si>
    <t>https://www.imo.org/en/ourwork/environment/pages/assessment-of-impacts-on-states.aspx</t>
  </si>
  <si>
    <t>IMO procedure for assessing potential impacts of candidate GHG reduction measures on States, with particular attention to developing countries, especially SIDS and LDCs.</t>
  </si>
  <si>
    <t>8</t>
  </si>
  <si>
    <t>Report of the Comprehensive Impact Assessment of the basket of candidate GHG-reduction mid-term measures (MEPC 82/INF.8)</t>
  </si>
  <si>
    <t>IMO Secretariat</t>
  </si>
  <si>
    <t>Submitted to MEPC 82, 2024</t>
  </si>
  <si>
    <t>https://wwwcdn.imo.org/localresources/en/OurWork/Environment/Documents/MEPC%2082-INF.8%20-%20Report%20of%20the%20Comprehensive%20impact%20assessment%20of%20the%20basket%20of%20candidate%20GHGreduction%20mid-...%20(Secretariat).pdf</t>
  </si>
  <si>
    <t>IMO Comprehensive Impact Assessment; uses UN-OHRLLS LDC and SIDS lists as the reference framework for identifying vulnerable States.</t>
  </si>
  <si>
    <t>9</t>
  </si>
  <si>
    <t>IMO's work to cut GHG emissions from ships (hub page)</t>
  </si>
  <si>
    <t>International Maritime Organization (IMO)</t>
  </si>
  <si>
    <t>Current</t>
  </si>
  <si>
    <t>https://www.imo.org/en/mediacentre/hottopics/pages/cutting-ghg-emissions.aspx</t>
  </si>
  <si>
    <t>IMO landing page on GHG reductions, which references the LDC/SIDS framework across strategy, Net-Zero Framework and capacity building.</t>
  </si>
  <si>
    <t>10</t>
  </si>
  <si>
    <t>Supporting — UNCTAD</t>
  </si>
  <si>
    <t>UNCTADstat — Classifications</t>
  </si>
  <si>
    <t>UNCTAD</t>
  </si>
  <si>
    <t>https://unctadstat.unctad.org/EN/Classifications.html</t>
  </si>
  <si>
    <t>UNCTAD data hub showing the development status classifications used for UN/UNCTAD statistics (LDC, LLDC, SIDS as defined by UN-OHRLLS).</t>
  </si>
  <si>
    <t>11</t>
  </si>
  <si>
    <t>Status of IMO Treaties (09 December 2025)</t>
  </si>
  <si>
    <t>9 December 2025</t>
  </si>
  <si>
    <t>https://wwwcdn.imo.org/localresources/en/About/Conventions/StatusOfConventions/Status%202025.pdf</t>
  </si>
  <si>
    <t>Authoritative list of Contracting States to MARPOL Protocol of 1997 (Annex VI) and all other IMO treaties. Users should verify MARPOL Annex VI status for individual States against the current version of this document.</t>
  </si>
  <si>
    <t>12</t>
  </si>
  <si>
    <t>IMO Member States</t>
  </si>
  <si>
    <t>International Maritime Organization</t>
  </si>
  <si>
    <t>Current (176 Members + 3 Associate Members)</t>
  </si>
  <si>
    <t>https://www.imo.org/en/ourwork/ero/pages/memberstates.aspx</t>
  </si>
  <si>
    <t>Official list of IMO Member States (175 UN Member States + Cook Islands) and Associate Members (Faroe Islands, Hong Kong, Macao).</t>
  </si>
  <si>
    <t>13</t>
  </si>
  <si>
    <t>WESP 2026 Statistical Annex, Table D — Developing Economies: Fuel Exporters</t>
  </si>
  <si>
    <t>UN DESA</t>
  </si>
  <si>
    <t>Classification of economies as net fuel exporters — used here as the 'hydrocarbon-dependent' indicator.</t>
  </si>
  <si>
    <t>14</t>
  </si>
  <si>
    <t>Landlocked Developing Countries (LLDCs) — List of 32</t>
  </si>
  <si>
    <t>UN-OHRLLS</t>
  </si>
  <si>
    <t>https://www.un.org/ohrlls/content/list-lldcs</t>
  </si>
  <si>
    <t>Official UN list of 32 Landlocked Developing Countries. Landlocked developed and transition economies (e.g. Austria, Czechia, Switzerland, Belarus, Serbia) are added separately for completeness in this workbook.</t>
  </si>
  <si>
    <t>15</t>
  </si>
  <si>
    <t>Primary — OIF</t>
  </si>
  <si>
    <t>Member states of the Organisation internationale de la Francophonie</t>
  </si>
  <si>
    <t>Organisation internationale de la Francophonie (OIF)</t>
  </si>
  <si>
    <t>Current — after Niger, Burkina Faso, Mali withdrawals (2025); Guinea sanctions lifted (Sep 2024)</t>
  </si>
  <si>
    <t>https://www.francophonie.org/la-francophonie-en-bref-754</t>
  </si>
  <si>
    <t>Official OIF members, associate members and observers. Wikipedia summary: https://en.wikipedia.org/wiki/Member_states_of_the_Organisation_internationale_de_la_Francophonie</t>
  </si>
  <si>
    <t>16</t>
  </si>
  <si>
    <t>Supporting — IRENA</t>
  </si>
  <si>
    <t>World Energy Transitions Outlook and country renewable energy readiness assessments</t>
  </si>
  <si>
    <t>International Renewable Energy Agency (IRENA)</t>
  </si>
  <si>
    <t>Current publications portfolio</t>
  </si>
  <si>
    <t>https://www.irena.org/Publications</t>
  </si>
  <si>
    <t>Used as a qualitative/indicative basis for the 'Renewable energy potential' tiering (High / Medium / Low) — which is not a formal UN/IMO classification but a working indicator combining geographic endowment and published renewable/green-fuel assessments.</t>
  </si>
  <si>
    <t>17</t>
  </si>
  <si>
    <t>100th State joins ship air pollution and emissions treaty (MARPOL Annex VI)</t>
  </si>
  <si>
    <t>IMO Media Centre</t>
  </si>
  <si>
    <t>8 June 2021</t>
  </si>
  <si>
    <t>https://www.imo.org/en/MediaCentre/PressBriefings/pages/MARPOL100State.aspx</t>
  </si>
  <si>
    <t>Confirms Argentina as 100th Contracting State to MARPOL Annex VI; current count is 108 Contracting States (~95% of world fleet by tonnage) as at late 2025.</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</si>
</sst>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22.0"/>
      <color rgb="FF002855"/>
      <name val="Arial"/>
    </font>
    <font>
      <i/>
      <sz val="13.0"/>
      <color rgb="FF595959"/>
      <name val="Arial"/>
    </font>
    <font>
      <b/>
      <sz val="12.0"/>
      <color rgb="FF002855"/>
      <name val="Arial"/>
    </font>
    <font>
      <sz val="11.0"/>
      <color theme="1"/>
      <name val="Calibri"/>
    </font>
    <font>
      <b/>
      <sz val="11.0"/>
      <color theme="1"/>
      <name val="Arial"/>
    </font>
    <font>
      <sz val="10.0"/>
      <color theme="1"/>
      <name val="Arial"/>
    </font>
    <font>
      <b/>
      <sz val="10.0"/>
      <color theme="1"/>
      <name val="Arial"/>
    </font>
    <font>
      <i/>
      <sz val="10.0"/>
      <color rgb="FF595959"/>
      <name val="Arial"/>
    </font>
    <font>
      <b/>
      <u/>
      <sz val="10.0"/>
      <color rgb="FF4472C4"/>
      <name val="Arial"/>
    </font>
    <font>
      <b/>
      <sz val="11.0"/>
      <color rgb="FFFFFFFF"/>
      <name val="Arial"/>
    </font>
    <font>
      <b/>
      <sz val="14.0"/>
      <color rgb="FF002855"/>
      <name val="Arial"/>
    </font>
    <font>
      <i/>
      <sz val="9.0"/>
      <color rgb="FFA00000"/>
      <name val="Arial"/>
    </font>
    <font>
      <b/>
      <sz val="11.0"/>
      <color rgb="FF002855"/>
      <name val="Arial"/>
    </font>
    <font/>
    <font>
      <b/>
      <u/>
      <sz val="11.0"/>
      <color rgb="FF4472C4"/>
      <name val="Arial"/>
    </font>
    <font>
      <b/>
      <sz val="16.0"/>
      <color rgb="FF002855"/>
      <name val="Arial"/>
    </font>
    <font>
      <u/>
      <sz val="10.0"/>
      <color rgb="FF0563C1"/>
      <name val="Arial"/>
    </font>
    <font>
      <u/>
      <sz val="10.0"/>
      <color rgb="FF0563C1"/>
      <name val="Arial"/>
    </font>
  </fonts>
  <fills count="12">
    <fill>
      <patternFill patternType="none"/>
    </fill>
    <fill>
      <patternFill patternType="lightGray"/>
    </fill>
    <fill>
      <patternFill patternType="solid">
        <fgColor rgb="FF9DC3E6"/>
        <bgColor rgb="FF9DC3E6"/>
      </patternFill>
    </fill>
    <fill>
      <patternFill patternType="solid">
        <fgColor rgb="FFB4A7D6"/>
        <bgColor rgb="FFB4A7D6"/>
      </patternFill>
    </fill>
    <fill>
      <patternFill patternType="solid">
        <fgColor rgb="FFF8F8F8"/>
        <bgColor rgb="FFF8F8F8"/>
      </patternFill>
    </fill>
    <fill>
      <patternFill patternType="solid">
        <fgColor rgb="FFFFD966"/>
        <bgColor rgb="FFFFD966"/>
      </patternFill>
    </fill>
    <fill>
      <patternFill patternType="solid">
        <fgColor rgb="FFA9D08E"/>
        <bgColor rgb="FFA9D08E"/>
      </patternFill>
    </fill>
    <fill>
      <patternFill patternType="solid">
        <fgColor rgb="FFF4B183"/>
        <bgColor rgb="FFF4B183"/>
      </patternFill>
    </fill>
    <fill>
      <patternFill patternType="solid">
        <fgColor rgb="FF002855"/>
        <bgColor rgb="FF002855"/>
      </patternFill>
    </fill>
    <fill>
      <patternFill patternType="solid">
        <fgColor rgb="FFE3EEF9"/>
        <bgColor rgb="FFE3EEF9"/>
      </patternFill>
    </fill>
    <fill>
      <patternFill patternType="solid">
        <fgColor rgb="FFF2F2F2"/>
        <bgColor rgb="FFF2F2F2"/>
      </patternFill>
    </fill>
    <fill>
      <patternFill patternType="solid">
        <fgColor rgb="FFFFE5E5"/>
        <bgColor rgb="FFFFE5E5"/>
      </patternFill>
    </fill>
  </fills>
  <borders count="4">
    <border/>
    <border>
      <left style="thin">
        <color rgb="FFBFBFBF"/>
      </left>
      <right style="thin">
        <color rgb="FFBFBFBF"/>
      </right>
      <top style="thin">
        <color rgb="FFBFBFBF"/>
      </top>
      <bottom style="thin">
        <color rgb="FFBFBFBF"/>
      </bottom>
    </border>
    <border>
      <left/>
      <top/>
      <bottom/>
    </border>
    <border>
      <right/>
      <top/>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0"/>
    </xf>
    <xf borderId="1" fillId="0" fontId="6" numFmtId="0" xfId="0" applyAlignment="1" applyBorder="1" applyFont="1">
      <alignment shrinkToFit="0" vertical="center" wrapText="1"/>
    </xf>
    <xf borderId="1" fillId="3" fontId="5" numFmtId="0" xfId="0" applyAlignment="1" applyBorder="1" applyFill="1" applyFont="1">
      <alignment horizontal="center" shrinkToFit="0" vertical="center" wrapText="0"/>
    </xf>
    <xf borderId="1" fillId="4" fontId="5" numFmtId="0" xfId="0" applyAlignment="1" applyBorder="1" applyFill="1" applyFont="1">
      <alignment horizontal="center" shrinkToFit="0" vertical="center" wrapText="0"/>
    </xf>
    <xf borderId="1" fillId="5" fontId="5" numFmtId="0" xfId="0" applyAlignment="1" applyBorder="1" applyFill="1" applyFont="1">
      <alignment horizontal="center" shrinkToFit="0" vertical="center" wrapText="0"/>
    </xf>
    <xf borderId="1" fillId="6" fontId="5" numFmtId="0" xfId="0" applyAlignment="1" applyBorder="1" applyFill="1" applyFont="1">
      <alignment horizontal="center" shrinkToFit="0" vertical="center" wrapText="0"/>
    </xf>
    <xf borderId="1" fillId="7" fontId="5" numFmtId="0" xfId="0" applyAlignment="1" applyBorder="1" applyFill="1" applyFont="1">
      <alignment horizontal="center" shrinkToFit="0" vertical="center" wrapText="0"/>
    </xf>
    <xf borderId="1" fillId="0" fontId="6" numFmtId="0" xfId="0" applyAlignment="1" applyBorder="1" applyFont="1">
      <alignment shrinkToFit="0" vertical="bottom" wrapText="0"/>
    </xf>
    <xf borderId="1" fillId="0" fontId="7" numFmtId="0" xfId="0" applyAlignment="1" applyBorder="1" applyFont="1">
      <alignment horizontal="center" shrinkToFit="0" vertical="bottom" wrapText="0"/>
    </xf>
    <xf borderId="1" fillId="0" fontId="8" numFmtId="0" xfId="0" applyAlignment="1" applyBorder="1" applyFont="1">
      <alignment shrinkToFit="0" vertical="bottom" wrapText="0"/>
    </xf>
    <xf borderId="1" fillId="0" fontId="9" numFmtId="0" xfId="0" applyAlignment="1" applyBorder="1" applyFont="1">
      <alignment shrinkToFit="0" vertical="bottom" wrapText="0"/>
    </xf>
    <xf borderId="1" fillId="0" fontId="6" numFmtId="0" xfId="0" applyAlignment="1" applyBorder="1" applyFont="1">
      <alignment shrinkToFit="0" vertical="bottom" wrapText="1"/>
    </xf>
    <xf borderId="0" fillId="0" fontId="6" numFmtId="0" xfId="0" applyAlignment="1" applyFont="1">
      <alignment shrinkToFit="0" vertical="top" wrapText="1"/>
    </xf>
    <xf borderId="0" fillId="0" fontId="8" numFmtId="0" xfId="0" applyAlignment="1" applyFont="1">
      <alignment shrinkToFit="0" vertical="bottom" wrapText="0"/>
    </xf>
    <xf borderId="1" fillId="8" fontId="10" numFmtId="0" xfId="0" applyAlignment="1" applyBorder="1" applyFill="1" applyFont="1">
      <alignment horizontal="center" shrinkToFit="0" vertical="center" wrapText="1"/>
    </xf>
    <xf borderId="1" fillId="8" fontId="10" numFmtId="0" xfId="0" applyAlignment="1" applyBorder="1" applyFont="1">
      <alignment horizontal="center" shrinkToFit="0" vertical="bottom" wrapText="0"/>
    </xf>
    <xf borderId="1" fillId="0" fontId="6" numFmtId="0" xfId="0" applyAlignment="1" applyBorder="1" applyFont="1">
      <alignment horizontal="center" shrinkToFit="0" vertical="center" wrapText="0"/>
    </xf>
    <xf borderId="1" fillId="2" fontId="7" numFmtId="0" xfId="0" applyAlignment="1" applyBorder="1" applyFont="1">
      <alignment shrinkToFit="0" vertical="center" wrapText="1"/>
    </xf>
    <xf borderId="1" fillId="2" fontId="7" numFmtId="0" xfId="0" applyAlignment="1" applyBorder="1" applyFont="1">
      <alignment shrinkToFit="0" vertical="bottom" wrapText="0"/>
    </xf>
    <xf borderId="1" fillId="0" fontId="6" numFmtId="0" xfId="0" applyAlignment="1" applyBorder="1" applyFont="1">
      <alignment horizontal="center" shrinkToFit="0" vertical="bottom" wrapText="0"/>
    </xf>
    <xf borderId="1" fillId="3" fontId="7" numFmtId="0" xfId="0" applyAlignment="1" applyBorder="1" applyFont="1">
      <alignment shrinkToFit="0" vertical="bottom" wrapText="0"/>
    </xf>
    <xf borderId="1" fillId="4" fontId="7" numFmtId="0" xfId="0" applyAlignment="1" applyBorder="1" applyFont="1">
      <alignment shrinkToFit="0" vertical="bottom" wrapText="0"/>
    </xf>
    <xf borderId="1" fillId="5" fontId="7" numFmtId="0" xfId="0" applyAlignment="1" applyBorder="1" applyFont="1">
      <alignment shrinkToFit="0" vertical="bottom" wrapText="0"/>
    </xf>
    <xf borderId="1" fillId="6" fontId="7" numFmtId="0" xfId="0" applyAlignment="1" applyBorder="1" applyFont="1">
      <alignment shrinkToFit="0" vertical="bottom" wrapText="0"/>
    </xf>
    <xf borderId="1" fillId="7" fontId="7" numFmtId="0" xfId="0" applyAlignment="1" applyBorder="1" applyFont="1">
      <alignment shrinkToFit="0" vertical="bottom" wrapText="0"/>
    </xf>
    <xf borderId="1" fillId="0" fontId="5" numFmtId="0" xfId="0" applyAlignment="1" applyBorder="1" applyFont="1">
      <alignment shrinkToFit="0" vertical="bottom" wrapText="0"/>
    </xf>
    <xf borderId="1" fillId="0" fontId="5" numFmtId="0" xfId="0" applyAlignment="1" applyBorder="1" applyFont="1">
      <alignment horizontal="center" shrinkToFit="0" vertical="bottom" wrapText="0"/>
    </xf>
    <xf borderId="1" fillId="3" fontId="7" numFmtId="0" xfId="0" applyAlignment="1" applyBorder="1" applyFont="1">
      <alignment shrinkToFit="0" vertical="center" wrapText="1"/>
    </xf>
    <xf borderId="1" fillId="7" fontId="7" numFmtId="0" xfId="0" applyAlignment="1" applyBorder="1" applyFont="1">
      <alignment shrinkToFit="0" vertical="center" wrapText="1"/>
    </xf>
    <xf borderId="1" fillId="5" fontId="7" numFmtId="0" xfId="0" applyAlignment="1" applyBorder="1" applyFont="1">
      <alignment shrinkToFit="0" vertical="center" wrapText="1"/>
    </xf>
    <xf borderId="1" fillId="6" fontId="7" numFmtId="0" xfId="0" applyAlignment="1" applyBorder="1" applyFont="1">
      <alignment shrinkToFit="0" vertical="center" wrapText="1"/>
    </xf>
    <xf borderId="1" fillId="4" fontId="7" numFmtId="0" xfId="0" applyAlignment="1" applyBorder="1" applyFont="1">
      <alignment shrinkToFit="0" vertical="center" wrapText="1"/>
    </xf>
    <xf borderId="0" fillId="0" fontId="11" numFmtId="0" xfId="0" applyAlignment="1" applyFont="1">
      <alignment shrinkToFit="0" vertical="bottom" wrapText="0"/>
    </xf>
    <xf borderId="1" fillId="0" fontId="6" numFmtId="0" xfId="0" applyAlignment="1" applyBorder="1" applyFont="1">
      <alignment horizontal="left" shrinkToFit="0" vertical="center" wrapText="0"/>
    </xf>
    <xf borderId="1" fillId="7" fontId="6" numFmtId="0" xfId="0" applyAlignment="1" applyBorder="1" applyFont="1">
      <alignment horizontal="center" shrinkToFit="0" vertical="center" wrapText="0"/>
    </xf>
    <xf borderId="1" fillId="7" fontId="6" numFmtId="0" xfId="0" applyAlignment="1" applyBorder="1" applyFont="1">
      <alignment horizontal="left" shrinkToFit="0" vertical="center" wrapText="0"/>
    </xf>
    <xf borderId="1" fillId="6" fontId="6" numFmtId="0" xfId="0" applyAlignment="1" applyBorder="1" applyFont="1">
      <alignment horizontal="center" shrinkToFit="0" vertical="center" wrapText="1"/>
    </xf>
    <xf borderId="1" fillId="6" fontId="6" numFmtId="0" xfId="0" applyAlignment="1" applyBorder="1" applyFont="1">
      <alignment horizontal="left" shrinkToFit="0" vertical="center" wrapText="1"/>
    </xf>
    <xf borderId="0" fillId="0" fontId="8" numFmtId="0" xfId="0" applyAlignment="1" applyFont="1">
      <alignment shrinkToFit="0" vertical="top" wrapText="1"/>
    </xf>
    <xf borderId="0" fillId="0" fontId="12" numFmtId="0" xfId="0" applyAlignment="1" applyFont="1">
      <alignment shrinkToFit="0" vertical="top" wrapText="1"/>
    </xf>
    <xf borderId="2" fillId="9" fontId="13" numFmtId="0" xfId="0" applyAlignment="1" applyBorder="1" applyFill="1" applyFont="1">
      <alignment shrinkToFit="0" vertical="bottom" wrapText="0"/>
    </xf>
    <xf borderId="3" fillId="0" fontId="14" numFmtId="0" xfId="0" applyBorder="1" applyFont="1"/>
    <xf borderId="1" fillId="10" fontId="6" numFmtId="0" xfId="0" applyAlignment="1" applyBorder="1" applyFill="1" applyFont="1">
      <alignment horizontal="left" shrinkToFit="0" vertical="center" wrapText="1"/>
    </xf>
    <xf borderId="1" fillId="10" fontId="6" numFmtId="0" xfId="0" applyAlignment="1" applyBorder="1" applyFont="1">
      <alignment horizontal="center" shrinkToFit="0" vertical="center" wrapText="1"/>
    </xf>
    <xf borderId="1" fillId="2" fontId="6" numFmtId="0" xfId="0" applyAlignment="1" applyBorder="1" applyFont="1">
      <alignment horizontal="left" shrinkToFit="0" vertical="center" wrapText="1"/>
    </xf>
    <xf borderId="1" fillId="2" fontId="6"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11" fontId="6" numFmtId="0" xfId="0" applyAlignment="1" applyBorder="1" applyFill="1" applyFont="1">
      <alignment horizontal="left" shrinkToFit="0" vertical="center" wrapText="1"/>
    </xf>
    <xf borderId="1" fillId="11" fontId="6" numFmtId="0" xfId="0" applyAlignment="1" applyBorder="1" applyFont="1">
      <alignment horizontal="center" shrinkToFit="0" vertical="center" wrapText="1"/>
    </xf>
    <xf borderId="1" fillId="5" fontId="6" numFmtId="0" xfId="0" applyAlignment="1" applyBorder="1" applyFont="1">
      <alignment horizontal="left" shrinkToFit="0" vertical="center" wrapText="1"/>
    </xf>
    <xf borderId="1" fillId="5" fontId="6" numFmtId="0" xfId="0" applyAlignment="1" applyBorder="1" applyFont="1">
      <alignment horizontal="center" shrinkToFit="0" vertical="center" wrapText="1"/>
    </xf>
    <xf borderId="0" fillId="0" fontId="15" numFmtId="0" xfId="0" applyAlignment="1" applyFont="1">
      <alignment shrinkToFit="0" vertical="bottom" wrapText="0"/>
    </xf>
    <xf borderId="0" fillId="0" fontId="16" numFmtId="0" xfId="0" applyAlignment="1" applyFont="1">
      <alignment shrinkToFit="0" vertical="bottom" wrapText="0"/>
    </xf>
    <xf borderId="1" fillId="0" fontId="6" numFmtId="0" xfId="0" applyAlignment="1" applyBorder="1" applyFont="1">
      <alignment horizontal="center" shrinkToFit="0" vertical="top" wrapText="1"/>
    </xf>
    <xf borderId="1" fillId="0" fontId="6"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 fillId="9" fontId="6" numFmtId="0" xfId="0" applyAlignment="1" applyBorder="1" applyFont="1">
      <alignment horizontal="center" shrinkToFit="0" vertical="top" wrapText="1"/>
    </xf>
    <xf borderId="1" fillId="9" fontId="6" numFmtId="0" xfId="0" applyAlignment="1" applyBorder="1" applyFont="1">
      <alignment horizontal="left" shrinkToFit="0" vertical="top" wrapText="1"/>
    </xf>
    <xf borderId="1" fillId="9" fontId="1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n_imo_country_development_classification.xlsx" TargetMode="External"/><Relationship Id="rId2" Type="http://schemas.openxmlformats.org/officeDocument/2006/relationships/hyperlink" Target="http://un_imo_country_development_classification.xlsx" TargetMode="External"/><Relationship Id="rId3" Type="http://schemas.openxmlformats.org/officeDocument/2006/relationships/hyperlink" Target="http://un_imo_country_development_classification.xlsx" TargetMode="External"/><Relationship Id="rId4" Type="http://schemas.openxmlformats.org/officeDocument/2006/relationships/hyperlink" Target="http://un_imo_country_development_classification.xlsx" TargetMode="External"/><Relationship Id="rId9" Type="http://schemas.openxmlformats.org/officeDocument/2006/relationships/drawing" Target="../drawings/drawing1.xml"/><Relationship Id="rId5" Type="http://schemas.openxmlformats.org/officeDocument/2006/relationships/hyperlink" Target="http://un_imo_country_development_classification.xlsx" TargetMode="External"/><Relationship Id="rId6" Type="http://schemas.openxmlformats.org/officeDocument/2006/relationships/hyperlink" Target="http://un_imo_country_development_classification.xlsx" TargetMode="External"/><Relationship Id="rId7" Type="http://schemas.openxmlformats.org/officeDocument/2006/relationships/hyperlink" Target="http://un_imo_country_development_classification.xlsx" TargetMode="External"/><Relationship Id="rId8" Type="http://schemas.openxmlformats.org/officeDocument/2006/relationships/hyperlink" Target="http://un_imo_country_development_classification.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un_imo_country_development_classification.xlsx"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cdn.imo.org/localresources/en/About/Conventions/StatusOfConventions/Status%202025.pdf" TargetMode="External"/><Relationship Id="rId10" Type="http://schemas.openxmlformats.org/officeDocument/2006/relationships/hyperlink" Target="https://unctadstat.unctad.org/EN/Classifications.html" TargetMode="External"/><Relationship Id="rId13" Type="http://schemas.openxmlformats.org/officeDocument/2006/relationships/hyperlink" Target="https://policy.desa.un.org/sites/default/files/2026-01/wesp2026_annex.pdf" TargetMode="External"/><Relationship Id="rId12" Type="http://schemas.openxmlformats.org/officeDocument/2006/relationships/hyperlink" Target="https://www.imo.org/en/ourwork/ero/pages/memberstates.aspx" TargetMode="External"/><Relationship Id="rId1" Type="http://schemas.openxmlformats.org/officeDocument/2006/relationships/hyperlink" Target="https://policy.desa.un.org/sites/default/files/2026-01/wesp2026_annex.pdf" TargetMode="External"/><Relationship Id="rId2" Type="http://schemas.openxmlformats.org/officeDocument/2006/relationships/hyperlink" Target="https://www.un.org/ohrlls/content/list-ldcs" TargetMode="External"/><Relationship Id="rId3" Type="http://schemas.openxmlformats.org/officeDocument/2006/relationships/hyperlink" Target="https://www.un.org/ohrlls/content/list-sids" TargetMode="External"/><Relationship Id="rId4" Type="http://schemas.openxmlformats.org/officeDocument/2006/relationships/hyperlink" Target="https://www.un.org/development/desa/dpad/least-developed-country-category.html" TargetMode="External"/><Relationship Id="rId9" Type="http://schemas.openxmlformats.org/officeDocument/2006/relationships/hyperlink" Target="https://www.imo.org/en/mediacentre/hottopics/pages/cutting-ghg-emissions.aspx" TargetMode="External"/><Relationship Id="rId15" Type="http://schemas.openxmlformats.org/officeDocument/2006/relationships/hyperlink" Target="https://www.francophonie.org/la-francophonie-en-bref-754" TargetMode="External"/><Relationship Id="rId14" Type="http://schemas.openxmlformats.org/officeDocument/2006/relationships/hyperlink" Target="https://www.un.org/ohrlls/content/list-lldcs" TargetMode="External"/><Relationship Id="rId17" Type="http://schemas.openxmlformats.org/officeDocument/2006/relationships/hyperlink" Target="https://www.imo.org/en/MediaCentre/PressBriefings/pages/MARPOL100State.aspx" TargetMode="External"/><Relationship Id="rId16" Type="http://schemas.openxmlformats.org/officeDocument/2006/relationships/hyperlink" Target="https://www.irena.org/Publications" TargetMode="External"/><Relationship Id="rId5" Type="http://schemas.openxmlformats.org/officeDocument/2006/relationships/hyperlink" Target="https://unctad.org/topic/least-developed-countries/list" TargetMode="External"/><Relationship Id="rId19" Type="http://schemas.openxmlformats.org/officeDocument/2006/relationships/drawing" Target="../drawings/drawing8.xml"/><Relationship Id="rId6" Type="http://schemas.openxmlformats.org/officeDocument/2006/relationships/hyperlink" Target="https://www.imo.org/en/ourwork/environment/pages/2023-imo-strategy-on-reduction-of-ghg-emissions-from-ships.aspx" TargetMode="External"/><Relationship Id="rId18" Type="http://schemas.openxmlformats.org/officeDocument/2006/relationships/hyperlink" Target="http://un_imo_country_development_classification.xlsx" TargetMode="External"/><Relationship Id="rId7" Type="http://schemas.openxmlformats.org/officeDocument/2006/relationships/hyperlink" Target="https://www.imo.org/en/ourwork/environment/pages/assessment-of-impacts-on-states.aspx" TargetMode="External"/><Relationship Id="rId8" Type="http://schemas.openxmlformats.org/officeDocument/2006/relationships/hyperlink" Target="https://wwwcdn.imo.org/localresources/en/OurWork/Environment/Documents/MEPC%2082-INF.8%20-%20Report%20of%20the%20Comprehensive%20impact%20assessment%20of%20the%20basket%20of%20candidate%20GHGreduction%20mid-...%20(Secretariat).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8.0"/>
    <col customWidth="1" min="3" max="3" width="65.71"/>
    <col customWidth="1" min="4" max="4" width="40.0"/>
    <col customWidth="1" min="5" max="26" width="8.71"/>
  </cols>
  <sheetData>
    <row r="2">
      <c r="B2" s="1" t="s">
        <v>0</v>
      </c>
    </row>
    <row r="3">
      <c r="B3" s="2" t="s">
        <v>1</v>
      </c>
    </row>
    <row r="5">
      <c r="B5" s="3" t="s">
        <v>2</v>
      </c>
    </row>
    <row r="6" ht="60.0" customHeight="1">
      <c r="B6" s="4" t="s">
        <v>3</v>
      </c>
    </row>
    <row r="8">
      <c r="B8" s="3" t="s">
        <v>4</v>
      </c>
    </row>
    <row r="9" ht="31.5" customHeight="1">
      <c r="B9" s="5" t="s">
        <v>5</v>
      </c>
      <c r="C9" s="6" t="s">
        <v>6</v>
      </c>
    </row>
    <row r="10" ht="31.5" customHeight="1">
      <c r="B10" s="7" t="s">
        <v>7</v>
      </c>
      <c r="C10" s="6" t="s">
        <v>8</v>
      </c>
    </row>
    <row r="11" ht="31.5" customHeight="1">
      <c r="B11" s="8" t="s">
        <v>9</v>
      </c>
      <c r="C11" s="6" t="s">
        <v>10</v>
      </c>
    </row>
    <row r="12" ht="31.5" customHeight="1">
      <c r="B12" s="9" t="s">
        <v>11</v>
      </c>
      <c r="C12" s="6" t="s">
        <v>12</v>
      </c>
    </row>
    <row r="13" ht="31.5" customHeight="1">
      <c r="B13" s="10" t="s">
        <v>13</v>
      </c>
      <c r="C13" s="6" t="s">
        <v>14</v>
      </c>
    </row>
    <row r="14" ht="31.5" customHeight="1">
      <c r="B14" s="11" t="s">
        <v>15</v>
      </c>
      <c r="C14" s="6" t="s">
        <v>16</v>
      </c>
    </row>
    <row r="16">
      <c r="B16" s="3" t="s">
        <v>17</v>
      </c>
    </row>
    <row r="17">
      <c r="B17" s="12" t="s">
        <v>18</v>
      </c>
      <c r="C17" s="13">
        <v>37.0</v>
      </c>
      <c r="D17" s="14" t="s">
        <v>19</v>
      </c>
    </row>
    <row r="18">
      <c r="B18" s="12" t="s">
        <v>20</v>
      </c>
      <c r="C18" s="13">
        <v>17.0</v>
      </c>
      <c r="D18" s="14" t="s">
        <v>21</v>
      </c>
    </row>
    <row r="19">
      <c r="B19" s="12" t="s">
        <v>22</v>
      </c>
      <c r="C19" s="13">
        <v>44.0</v>
      </c>
      <c r="D19" s="14" t="s">
        <v>23</v>
      </c>
    </row>
    <row r="20">
      <c r="B20" s="12" t="s">
        <v>24</v>
      </c>
      <c r="C20" s="13">
        <v>39.0</v>
      </c>
      <c r="D20" s="14" t="s">
        <v>25</v>
      </c>
    </row>
    <row r="21" ht="15.75" customHeight="1">
      <c r="B21" s="12" t="s">
        <v>26</v>
      </c>
      <c r="C21" s="13">
        <v>7.0</v>
      </c>
      <c r="D21" s="14" t="s">
        <v>27</v>
      </c>
    </row>
    <row r="22" ht="15.75" customHeight="1">
      <c r="B22" s="12" t="s">
        <v>28</v>
      </c>
      <c r="C22" s="13">
        <v>37.0</v>
      </c>
      <c r="D22" s="14" t="s">
        <v>29</v>
      </c>
    </row>
    <row r="23" ht="15.75" customHeight="1">
      <c r="B23" s="12" t="s">
        <v>30</v>
      </c>
      <c r="C23" s="13">
        <v>32.0</v>
      </c>
      <c r="D23" s="14" t="s">
        <v>31</v>
      </c>
    </row>
    <row r="24" ht="15.75" customHeight="1">
      <c r="B24" s="12" t="s">
        <v>32</v>
      </c>
      <c r="C24" s="13">
        <v>18.0</v>
      </c>
      <c r="D24" s="14" t="s">
        <v>33</v>
      </c>
    </row>
    <row r="25" ht="15.75" customHeight="1"/>
    <row r="26" ht="15.75" customHeight="1"/>
    <row r="27" ht="15.75" customHeight="1">
      <c r="B27" s="3" t="s">
        <v>34</v>
      </c>
    </row>
    <row r="28" ht="15.75" customHeight="1">
      <c r="B28" s="15" t="s">
        <v>35</v>
      </c>
      <c r="C28" s="16" t="s">
        <v>36</v>
      </c>
    </row>
    <row r="29" ht="15.75" customHeight="1">
      <c r="B29" s="15" t="s">
        <v>37</v>
      </c>
      <c r="C29" s="16" t="s">
        <v>38</v>
      </c>
    </row>
    <row r="30" ht="15.75" customHeight="1">
      <c r="B30" s="15" t="s">
        <v>39</v>
      </c>
      <c r="C30" s="16" t="s">
        <v>40</v>
      </c>
    </row>
    <row r="31" ht="15.75" customHeight="1">
      <c r="B31" s="15" t="s">
        <v>41</v>
      </c>
      <c r="C31" s="16" t="s">
        <v>42</v>
      </c>
    </row>
    <row r="32" ht="15.75" customHeight="1">
      <c r="B32" s="15" t="s">
        <v>43</v>
      </c>
      <c r="C32" s="16" t="s">
        <v>44</v>
      </c>
    </row>
    <row r="33" ht="15.75" customHeight="1">
      <c r="B33" s="15" t="s">
        <v>45</v>
      </c>
      <c r="C33" s="16" t="s">
        <v>46</v>
      </c>
    </row>
    <row r="34" ht="15.75" customHeight="1">
      <c r="B34" s="15" t="s">
        <v>47</v>
      </c>
      <c r="C34" s="16" t="s">
        <v>48</v>
      </c>
    </row>
    <row r="35" ht="15.75" customHeight="1">
      <c r="B35" s="15" t="s">
        <v>49</v>
      </c>
      <c r="C35" s="16" t="s">
        <v>50</v>
      </c>
    </row>
    <row r="36" ht="15.75" customHeight="1"/>
    <row r="37" ht="15.75" customHeight="1"/>
    <row r="38" ht="15.75" customHeight="1">
      <c r="B38" s="3" t="s">
        <v>51</v>
      </c>
    </row>
    <row r="39" ht="30.0" customHeight="1">
      <c r="B39" s="17" t="s">
        <v>52</v>
      </c>
    </row>
    <row r="40" ht="30.0" customHeight="1">
      <c r="B40" s="17" t="s">
        <v>53</v>
      </c>
    </row>
    <row r="41" ht="30.0" customHeight="1">
      <c r="B41" s="17" t="s">
        <v>54</v>
      </c>
    </row>
    <row r="42" ht="30.0" customHeight="1">
      <c r="B42" s="17" t="s">
        <v>55</v>
      </c>
    </row>
    <row r="43" ht="35.25" customHeight="1">
      <c r="B43" s="17" t="s">
        <v>56</v>
      </c>
    </row>
    <row r="44" ht="33.0" customHeight="1">
      <c r="B44" s="17" t="s">
        <v>57</v>
      </c>
    </row>
    <row r="45" ht="57.75" customHeight="1">
      <c r="B45" s="17" t="s">
        <v>58</v>
      </c>
    </row>
    <row r="46" ht="45.75" customHeight="1">
      <c r="B46" s="17" t="s">
        <v>59</v>
      </c>
    </row>
    <row r="47" ht="15.75" customHeight="1"/>
    <row r="48" ht="15.75" customHeight="1"/>
    <row r="49" ht="15.75" customHeight="1">
      <c r="B49" s="18" t="s">
        <v>60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45:D45"/>
    <mergeCell ref="B46:D46"/>
    <mergeCell ref="B6:C6"/>
    <mergeCell ref="B39:D39"/>
    <mergeCell ref="B40:D40"/>
    <mergeCell ref="B41:D41"/>
    <mergeCell ref="B42:D42"/>
    <mergeCell ref="B43:D43"/>
    <mergeCell ref="B44:D44"/>
  </mergeCells>
  <hyperlinks>
    <hyperlink r:id="rId1" location="'Cover'!A1" ref="B28"/>
    <hyperlink r:id="rId2" location="'Country%20List'!A1" ref="B29"/>
    <hyperlink r:id="rId3" location="'LDCs'!A1" ref="B30"/>
    <hyperlink r:id="rId4" location="'SIDS'!A1" ref="B31"/>
    <hyperlink r:id="rId5" location="'Dual%20Status'!A1" ref="B32"/>
    <hyperlink r:id="rId6" location="'Associate%20Members'!A1" ref="B33"/>
    <hyperlink r:id="rId7" location="'IMO%20Members'!A1" ref="B34"/>
    <hyperlink r:id="rId8" location="'References'!A1" ref="B35"/>
  </hyperlinks>
  <printOptions/>
  <pageMargins bottom="1.0" footer="0.0" header="0.0" left="0.75" right="0.75" top="1.0"/>
  <pageSetup paperSize="9" orientation="portrait"/>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9.0"/>
    <col customWidth="1" min="3" max="3" width="26.0"/>
    <col customWidth="1" min="4" max="4" width="22.0"/>
    <col customWidth="1" min="5" max="6" width="8.0"/>
    <col customWidth="1" min="7" max="7" width="12.0"/>
    <col customWidth="1" min="8" max="8" width="28.0"/>
    <col customWidth="1" min="9" max="9" width="45.0"/>
    <col customWidth="1" min="10" max="10" width="8.71"/>
    <col customWidth="1" min="11" max="11" width="30.0"/>
    <col customWidth="1" min="12" max="12" width="10.0"/>
    <col customWidth="1" min="13" max="26" width="8.71"/>
  </cols>
  <sheetData>
    <row r="1" ht="33.75" customHeight="1">
      <c r="A1" s="19" t="s">
        <v>61</v>
      </c>
      <c r="B1" s="19" t="s">
        <v>62</v>
      </c>
      <c r="C1" s="19" t="s">
        <v>63</v>
      </c>
      <c r="D1" s="19" t="s">
        <v>64</v>
      </c>
      <c r="E1" s="19" t="s">
        <v>65</v>
      </c>
      <c r="F1" s="19" t="s">
        <v>41</v>
      </c>
      <c r="G1" s="19" t="s">
        <v>43</v>
      </c>
      <c r="H1" s="19" t="s">
        <v>66</v>
      </c>
      <c r="I1" s="19" t="s">
        <v>67</v>
      </c>
      <c r="K1" s="20" t="s">
        <v>68</v>
      </c>
      <c r="L1" s="20" t="s">
        <v>69</v>
      </c>
    </row>
    <row r="2">
      <c r="A2" s="6" t="s">
        <v>70</v>
      </c>
      <c r="B2" s="21" t="s">
        <v>71</v>
      </c>
      <c r="C2" s="6" t="s">
        <v>72</v>
      </c>
      <c r="D2" s="6" t="s">
        <v>5</v>
      </c>
      <c r="E2" s="21" t="s">
        <v>73</v>
      </c>
      <c r="F2" s="21" t="s">
        <v>73</v>
      </c>
      <c r="G2" s="21" t="s">
        <v>73</v>
      </c>
      <c r="H2" s="22" t="s">
        <v>5</v>
      </c>
      <c r="I2" s="6" t="s">
        <v>19</v>
      </c>
      <c r="K2" s="23" t="s">
        <v>5</v>
      </c>
      <c r="L2" s="24">
        <f>COUNTIF(H2:H199,"Developed")</f>
        <v>37</v>
      </c>
    </row>
    <row r="3">
      <c r="A3" s="6" t="s">
        <v>74</v>
      </c>
      <c r="B3" s="21" t="s">
        <v>75</v>
      </c>
      <c r="C3" s="6" t="s">
        <v>76</v>
      </c>
      <c r="D3" s="6" t="s">
        <v>5</v>
      </c>
      <c r="E3" s="21" t="s">
        <v>73</v>
      </c>
      <c r="F3" s="21" t="s">
        <v>73</v>
      </c>
      <c r="G3" s="21" t="s">
        <v>73</v>
      </c>
      <c r="H3" s="22" t="s">
        <v>5</v>
      </c>
      <c r="I3" s="6" t="s">
        <v>19</v>
      </c>
      <c r="K3" s="25" t="s">
        <v>7</v>
      </c>
      <c r="L3" s="24">
        <f>COUNTIF(H2:H199,"Economy in Transition")</f>
        <v>17</v>
      </c>
    </row>
    <row r="4">
      <c r="A4" s="6" t="s">
        <v>77</v>
      </c>
      <c r="B4" s="21" t="s">
        <v>78</v>
      </c>
      <c r="C4" s="6" t="s">
        <v>76</v>
      </c>
      <c r="D4" s="6" t="s">
        <v>5</v>
      </c>
      <c r="E4" s="21" t="s">
        <v>73</v>
      </c>
      <c r="F4" s="21" t="s">
        <v>73</v>
      </c>
      <c r="G4" s="21" t="s">
        <v>73</v>
      </c>
      <c r="H4" s="22" t="s">
        <v>5</v>
      </c>
      <c r="I4" s="6" t="s">
        <v>19</v>
      </c>
      <c r="K4" s="26" t="s">
        <v>9</v>
      </c>
      <c r="L4" s="24">
        <f>COUNTIF(H2:H199,"Developing (Other)")</f>
        <v>68</v>
      </c>
    </row>
    <row r="5">
      <c r="A5" s="6" t="s">
        <v>79</v>
      </c>
      <c r="B5" s="21" t="s">
        <v>80</v>
      </c>
      <c r="C5" s="6" t="s">
        <v>76</v>
      </c>
      <c r="D5" s="6" t="s">
        <v>5</v>
      </c>
      <c r="E5" s="21" t="s">
        <v>73</v>
      </c>
      <c r="F5" s="21" t="s">
        <v>73</v>
      </c>
      <c r="G5" s="21" t="s">
        <v>73</v>
      </c>
      <c r="H5" s="22" t="s">
        <v>5</v>
      </c>
      <c r="I5" s="6" t="s">
        <v>19</v>
      </c>
      <c r="K5" s="27" t="s">
        <v>11</v>
      </c>
      <c r="L5" s="24">
        <f>COUNTIF(H2:H199,"LDC only")</f>
        <v>37</v>
      </c>
    </row>
    <row r="6">
      <c r="A6" s="6" t="s">
        <v>81</v>
      </c>
      <c r="B6" s="21" t="s">
        <v>82</v>
      </c>
      <c r="C6" s="6" t="s">
        <v>83</v>
      </c>
      <c r="D6" s="6" t="s">
        <v>5</v>
      </c>
      <c r="E6" s="21" t="s">
        <v>73</v>
      </c>
      <c r="F6" s="21" t="s">
        <v>73</v>
      </c>
      <c r="G6" s="21" t="s">
        <v>73</v>
      </c>
      <c r="H6" s="22" t="s">
        <v>5</v>
      </c>
      <c r="I6" s="6" t="s">
        <v>19</v>
      </c>
      <c r="K6" s="28" t="s">
        <v>13</v>
      </c>
      <c r="L6" s="24">
        <f>COUNTIF(H2:H199,"SIDS only")</f>
        <v>32</v>
      </c>
    </row>
    <row r="7">
      <c r="A7" s="6" t="s">
        <v>84</v>
      </c>
      <c r="B7" s="21" t="s">
        <v>85</v>
      </c>
      <c r="C7" s="6" t="s">
        <v>76</v>
      </c>
      <c r="D7" s="6" t="s">
        <v>5</v>
      </c>
      <c r="E7" s="21" t="s">
        <v>73</v>
      </c>
      <c r="F7" s="21" t="s">
        <v>73</v>
      </c>
      <c r="G7" s="21" t="s">
        <v>73</v>
      </c>
      <c r="H7" s="22" t="s">
        <v>5</v>
      </c>
      <c r="I7" s="6" t="s">
        <v>19</v>
      </c>
      <c r="K7" s="29" t="s">
        <v>15</v>
      </c>
      <c r="L7" s="24">
        <f>COUNTIF(H2:H199,"SIDS + LDC (Dual Status)")</f>
        <v>7</v>
      </c>
    </row>
    <row r="8">
      <c r="A8" s="6" t="s">
        <v>86</v>
      </c>
      <c r="B8" s="21" t="s">
        <v>87</v>
      </c>
      <c r="C8" s="6" t="s">
        <v>76</v>
      </c>
      <c r="D8" s="6" t="s">
        <v>5</v>
      </c>
      <c r="E8" s="21" t="s">
        <v>73</v>
      </c>
      <c r="F8" s="21" t="s">
        <v>73</v>
      </c>
      <c r="G8" s="21" t="s">
        <v>73</v>
      </c>
      <c r="H8" s="22" t="s">
        <v>5</v>
      </c>
      <c r="I8" s="6" t="s">
        <v>19</v>
      </c>
      <c r="K8" s="30" t="s">
        <v>88</v>
      </c>
      <c r="L8" s="31">
        <f>SUM(L2:L7)</f>
        <v>198</v>
      </c>
    </row>
    <row r="9">
      <c r="A9" s="6" t="s">
        <v>89</v>
      </c>
      <c r="B9" s="21" t="s">
        <v>90</v>
      </c>
      <c r="C9" s="6" t="s">
        <v>76</v>
      </c>
      <c r="D9" s="6" t="s">
        <v>5</v>
      </c>
      <c r="E9" s="21" t="s">
        <v>73</v>
      </c>
      <c r="F9" s="21" t="s">
        <v>73</v>
      </c>
      <c r="G9" s="21" t="s">
        <v>73</v>
      </c>
      <c r="H9" s="22" t="s">
        <v>5</v>
      </c>
      <c r="I9" s="6" t="s">
        <v>19</v>
      </c>
    </row>
    <row r="10">
      <c r="A10" s="6" t="s">
        <v>91</v>
      </c>
      <c r="B10" s="21" t="s">
        <v>92</v>
      </c>
      <c r="C10" s="6" t="s">
        <v>76</v>
      </c>
      <c r="D10" s="6" t="s">
        <v>5</v>
      </c>
      <c r="E10" s="21" t="s">
        <v>73</v>
      </c>
      <c r="F10" s="21" t="s">
        <v>73</v>
      </c>
      <c r="G10" s="21" t="s">
        <v>73</v>
      </c>
      <c r="H10" s="22" t="s">
        <v>5</v>
      </c>
      <c r="I10" s="6" t="s">
        <v>19</v>
      </c>
    </row>
    <row r="11">
      <c r="A11" s="6" t="s">
        <v>93</v>
      </c>
      <c r="B11" s="21" t="s">
        <v>94</v>
      </c>
      <c r="C11" s="6" t="s">
        <v>76</v>
      </c>
      <c r="D11" s="6" t="s">
        <v>5</v>
      </c>
      <c r="E11" s="21" t="s">
        <v>73</v>
      </c>
      <c r="F11" s="21" t="s">
        <v>73</v>
      </c>
      <c r="G11" s="21" t="s">
        <v>73</v>
      </c>
      <c r="H11" s="22" t="s">
        <v>5</v>
      </c>
      <c r="I11" s="6" t="s">
        <v>19</v>
      </c>
    </row>
    <row r="12">
      <c r="A12" s="6" t="s">
        <v>95</v>
      </c>
      <c r="B12" s="21" t="s">
        <v>96</v>
      </c>
      <c r="C12" s="6" t="s">
        <v>76</v>
      </c>
      <c r="D12" s="6" t="s">
        <v>5</v>
      </c>
      <c r="E12" s="21" t="s">
        <v>73</v>
      </c>
      <c r="F12" s="21" t="s">
        <v>73</v>
      </c>
      <c r="G12" s="21" t="s">
        <v>73</v>
      </c>
      <c r="H12" s="22" t="s">
        <v>5</v>
      </c>
      <c r="I12" s="6" t="s">
        <v>19</v>
      </c>
    </row>
    <row r="13">
      <c r="A13" s="6" t="s">
        <v>97</v>
      </c>
      <c r="B13" s="21" t="s">
        <v>98</v>
      </c>
      <c r="C13" s="6" t="s">
        <v>76</v>
      </c>
      <c r="D13" s="6" t="s">
        <v>5</v>
      </c>
      <c r="E13" s="21" t="s">
        <v>73</v>
      </c>
      <c r="F13" s="21" t="s">
        <v>73</v>
      </c>
      <c r="G13" s="21" t="s">
        <v>73</v>
      </c>
      <c r="H13" s="22" t="s">
        <v>5</v>
      </c>
      <c r="I13" s="6" t="s">
        <v>19</v>
      </c>
    </row>
    <row r="14">
      <c r="A14" s="6" t="s">
        <v>99</v>
      </c>
      <c r="B14" s="21" t="s">
        <v>100</v>
      </c>
      <c r="C14" s="6" t="s">
        <v>76</v>
      </c>
      <c r="D14" s="6" t="s">
        <v>5</v>
      </c>
      <c r="E14" s="21" t="s">
        <v>73</v>
      </c>
      <c r="F14" s="21" t="s">
        <v>73</v>
      </c>
      <c r="G14" s="21" t="s">
        <v>73</v>
      </c>
      <c r="H14" s="22" t="s">
        <v>5</v>
      </c>
      <c r="I14" s="6" t="s">
        <v>19</v>
      </c>
    </row>
    <row r="15">
      <c r="A15" s="6" t="s">
        <v>101</v>
      </c>
      <c r="B15" s="21" t="s">
        <v>102</v>
      </c>
      <c r="C15" s="6" t="s">
        <v>76</v>
      </c>
      <c r="D15" s="6" t="s">
        <v>5</v>
      </c>
      <c r="E15" s="21" t="s">
        <v>73</v>
      </c>
      <c r="F15" s="21" t="s">
        <v>73</v>
      </c>
      <c r="G15" s="21" t="s">
        <v>73</v>
      </c>
      <c r="H15" s="22" t="s">
        <v>5</v>
      </c>
      <c r="I15" s="6" t="s">
        <v>19</v>
      </c>
    </row>
    <row r="16">
      <c r="A16" s="6" t="s">
        <v>103</v>
      </c>
      <c r="B16" s="21" t="s">
        <v>104</v>
      </c>
      <c r="C16" s="6" t="s">
        <v>76</v>
      </c>
      <c r="D16" s="6" t="s">
        <v>5</v>
      </c>
      <c r="E16" s="21" t="s">
        <v>73</v>
      </c>
      <c r="F16" s="21" t="s">
        <v>73</v>
      </c>
      <c r="G16" s="21" t="s">
        <v>73</v>
      </c>
      <c r="H16" s="22" t="s">
        <v>5</v>
      </c>
      <c r="I16" s="6" t="s">
        <v>19</v>
      </c>
    </row>
    <row r="17">
      <c r="A17" s="6" t="s">
        <v>105</v>
      </c>
      <c r="B17" s="21" t="s">
        <v>106</v>
      </c>
      <c r="C17" s="6" t="s">
        <v>107</v>
      </c>
      <c r="D17" s="6" t="s">
        <v>5</v>
      </c>
      <c r="E17" s="21" t="s">
        <v>73</v>
      </c>
      <c r="F17" s="21" t="s">
        <v>73</v>
      </c>
      <c r="G17" s="21" t="s">
        <v>73</v>
      </c>
      <c r="H17" s="22" t="s">
        <v>5</v>
      </c>
      <c r="I17" s="6" t="s">
        <v>19</v>
      </c>
    </row>
    <row r="18">
      <c r="A18" s="6" t="s">
        <v>108</v>
      </c>
      <c r="B18" s="21" t="s">
        <v>109</v>
      </c>
      <c r="C18" s="6" t="s">
        <v>76</v>
      </c>
      <c r="D18" s="6" t="s">
        <v>5</v>
      </c>
      <c r="E18" s="21" t="s">
        <v>73</v>
      </c>
      <c r="F18" s="21" t="s">
        <v>73</v>
      </c>
      <c r="G18" s="21" t="s">
        <v>73</v>
      </c>
      <c r="H18" s="22" t="s">
        <v>5</v>
      </c>
      <c r="I18" s="6" t="s">
        <v>19</v>
      </c>
    </row>
    <row r="19">
      <c r="A19" s="6" t="s">
        <v>110</v>
      </c>
      <c r="B19" s="21" t="s">
        <v>111</v>
      </c>
      <c r="C19" s="6" t="s">
        <v>76</v>
      </c>
      <c r="D19" s="6" t="s">
        <v>5</v>
      </c>
      <c r="E19" s="21" t="s">
        <v>73</v>
      </c>
      <c r="F19" s="21" t="s">
        <v>73</v>
      </c>
      <c r="G19" s="21" t="s">
        <v>73</v>
      </c>
      <c r="H19" s="22" t="s">
        <v>5</v>
      </c>
      <c r="I19" s="6" t="s">
        <v>19</v>
      </c>
    </row>
    <row r="20">
      <c r="A20" s="6" t="s">
        <v>112</v>
      </c>
      <c r="B20" s="21" t="s">
        <v>113</v>
      </c>
      <c r="C20" s="6" t="s">
        <v>72</v>
      </c>
      <c r="D20" s="6" t="s">
        <v>5</v>
      </c>
      <c r="E20" s="21" t="s">
        <v>73</v>
      </c>
      <c r="F20" s="21" t="s">
        <v>73</v>
      </c>
      <c r="G20" s="21" t="s">
        <v>73</v>
      </c>
      <c r="H20" s="22" t="s">
        <v>5</v>
      </c>
      <c r="I20" s="6" t="s">
        <v>19</v>
      </c>
    </row>
    <row r="21" ht="15.75" customHeight="1">
      <c r="A21" s="6" t="s">
        <v>114</v>
      </c>
      <c r="B21" s="21" t="s">
        <v>115</v>
      </c>
      <c r="C21" s="6" t="s">
        <v>76</v>
      </c>
      <c r="D21" s="6" t="s">
        <v>5</v>
      </c>
      <c r="E21" s="21" t="s">
        <v>73</v>
      </c>
      <c r="F21" s="21" t="s">
        <v>73</v>
      </c>
      <c r="G21" s="21" t="s">
        <v>73</v>
      </c>
      <c r="H21" s="22" t="s">
        <v>5</v>
      </c>
      <c r="I21" s="6" t="s">
        <v>19</v>
      </c>
    </row>
    <row r="22" ht="15.75" customHeight="1">
      <c r="A22" s="6" t="s">
        <v>116</v>
      </c>
      <c r="B22" s="21" t="s">
        <v>117</v>
      </c>
      <c r="C22" s="6" t="s">
        <v>76</v>
      </c>
      <c r="D22" s="6" t="s">
        <v>5</v>
      </c>
      <c r="E22" s="21" t="s">
        <v>73</v>
      </c>
      <c r="F22" s="21" t="s">
        <v>73</v>
      </c>
      <c r="G22" s="21" t="s">
        <v>73</v>
      </c>
      <c r="H22" s="22" t="s">
        <v>5</v>
      </c>
      <c r="I22" s="6" t="s">
        <v>19</v>
      </c>
    </row>
    <row r="23" ht="15.75" customHeight="1">
      <c r="A23" s="6" t="s">
        <v>118</v>
      </c>
      <c r="B23" s="21" t="s">
        <v>119</v>
      </c>
      <c r="C23" s="6" t="s">
        <v>76</v>
      </c>
      <c r="D23" s="6" t="s">
        <v>5</v>
      </c>
      <c r="E23" s="21" t="s">
        <v>73</v>
      </c>
      <c r="F23" s="21" t="s">
        <v>73</v>
      </c>
      <c r="G23" s="21" t="s">
        <v>73</v>
      </c>
      <c r="H23" s="22" t="s">
        <v>5</v>
      </c>
      <c r="I23" s="6" t="s">
        <v>19</v>
      </c>
    </row>
    <row r="24" ht="15.75" customHeight="1">
      <c r="A24" s="6" t="s">
        <v>120</v>
      </c>
      <c r="B24" s="21" t="s">
        <v>121</v>
      </c>
      <c r="C24" s="6" t="s">
        <v>76</v>
      </c>
      <c r="D24" s="6" t="s">
        <v>5</v>
      </c>
      <c r="E24" s="21" t="s">
        <v>73</v>
      </c>
      <c r="F24" s="21" t="s">
        <v>73</v>
      </c>
      <c r="G24" s="21" t="s">
        <v>73</v>
      </c>
      <c r="H24" s="22" t="s">
        <v>5</v>
      </c>
      <c r="I24" s="6" t="s">
        <v>19</v>
      </c>
    </row>
    <row r="25" ht="15.75" customHeight="1">
      <c r="A25" s="6" t="s">
        <v>122</v>
      </c>
      <c r="B25" s="21" t="s">
        <v>123</v>
      </c>
      <c r="C25" s="6" t="s">
        <v>76</v>
      </c>
      <c r="D25" s="6" t="s">
        <v>5</v>
      </c>
      <c r="E25" s="21" t="s">
        <v>73</v>
      </c>
      <c r="F25" s="21" t="s">
        <v>73</v>
      </c>
      <c r="G25" s="21" t="s">
        <v>73</v>
      </c>
      <c r="H25" s="22" t="s">
        <v>5</v>
      </c>
      <c r="I25" s="6" t="s">
        <v>19</v>
      </c>
    </row>
    <row r="26" ht="15.75" customHeight="1">
      <c r="A26" s="6" t="s">
        <v>124</v>
      </c>
      <c r="B26" s="21" t="s">
        <v>125</v>
      </c>
      <c r="C26" s="6" t="s">
        <v>72</v>
      </c>
      <c r="D26" s="6" t="s">
        <v>5</v>
      </c>
      <c r="E26" s="21" t="s">
        <v>73</v>
      </c>
      <c r="F26" s="21" t="s">
        <v>73</v>
      </c>
      <c r="G26" s="21" t="s">
        <v>73</v>
      </c>
      <c r="H26" s="22" t="s">
        <v>5</v>
      </c>
      <c r="I26" s="6" t="s">
        <v>19</v>
      </c>
    </row>
    <row r="27" ht="15.75" customHeight="1">
      <c r="A27" s="6" t="s">
        <v>126</v>
      </c>
      <c r="B27" s="21" t="s">
        <v>127</v>
      </c>
      <c r="C27" s="6" t="s">
        <v>107</v>
      </c>
      <c r="D27" s="6" t="s">
        <v>5</v>
      </c>
      <c r="E27" s="21" t="s">
        <v>73</v>
      </c>
      <c r="F27" s="21" t="s">
        <v>73</v>
      </c>
      <c r="G27" s="21" t="s">
        <v>73</v>
      </c>
      <c r="H27" s="22" t="s">
        <v>5</v>
      </c>
      <c r="I27" s="6" t="s">
        <v>19</v>
      </c>
    </row>
    <row r="28" ht="15.75" customHeight="1">
      <c r="A28" s="6" t="s">
        <v>128</v>
      </c>
      <c r="B28" s="21" t="s">
        <v>129</v>
      </c>
      <c r="C28" s="6" t="s">
        <v>76</v>
      </c>
      <c r="D28" s="6" t="s">
        <v>5</v>
      </c>
      <c r="E28" s="21" t="s">
        <v>73</v>
      </c>
      <c r="F28" s="21" t="s">
        <v>73</v>
      </c>
      <c r="G28" s="21" t="s">
        <v>73</v>
      </c>
      <c r="H28" s="22" t="s">
        <v>5</v>
      </c>
      <c r="I28" s="6" t="s">
        <v>19</v>
      </c>
    </row>
    <row r="29" ht="15.75" customHeight="1">
      <c r="A29" s="6" t="s">
        <v>130</v>
      </c>
      <c r="B29" s="21" t="s">
        <v>131</v>
      </c>
      <c r="C29" s="6" t="s">
        <v>76</v>
      </c>
      <c r="D29" s="6" t="s">
        <v>5</v>
      </c>
      <c r="E29" s="21" t="s">
        <v>73</v>
      </c>
      <c r="F29" s="21" t="s">
        <v>73</v>
      </c>
      <c r="G29" s="21" t="s">
        <v>73</v>
      </c>
      <c r="H29" s="22" t="s">
        <v>5</v>
      </c>
      <c r="I29" s="6" t="s">
        <v>19</v>
      </c>
    </row>
    <row r="30" ht="15.75" customHeight="1">
      <c r="A30" s="6" t="s">
        <v>132</v>
      </c>
      <c r="B30" s="21" t="s">
        <v>133</v>
      </c>
      <c r="C30" s="6" t="s">
        <v>72</v>
      </c>
      <c r="D30" s="6" t="s">
        <v>5</v>
      </c>
      <c r="E30" s="21" t="s">
        <v>73</v>
      </c>
      <c r="F30" s="21" t="s">
        <v>73</v>
      </c>
      <c r="G30" s="21" t="s">
        <v>73</v>
      </c>
      <c r="H30" s="22" t="s">
        <v>5</v>
      </c>
      <c r="I30" s="6" t="s">
        <v>19</v>
      </c>
    </row>
    <row r="31" ht="15.75" customHeight="1">
      <c r="A31" s="6" t="s">
        <v>134</v>
      </c>
      <c r="B31" s="21" t="s">
        <v>135</v>
      </c>
      <c r="C31" s="6" t="s">
        <v>76</v>
      </c>
      <c r="D31" s="6" t="s">
        <v>5</v>
      </c>
      <c r="E31" s="21" t="s">
        <v>73</v>
      </c>
      <c r="F31" s="21" t="s">
        <v>73</v>
      </c>
      <c r="G31" s="21" t="s">
        <v>73</v>
      </c>
      <c r="H31" s="22" t="s">
        <v>5</v>
      </c>
      <c r="I31" s="6" t="s">
        <v>19</v>
      </c>
    </row>
    <row r="32" ht="15.75" customHeight="1">
      <c r="A32" s="6" t="s">
        <v>136</v>
      </c>
      <c r="B32" s="21" t="s">
        <v>137</v>
      </c>
      <c r="C32" s="6" t="s">
        <v>76</v>
      </c>
      <c r="D32" s="6" t="s">
        <v>5</v>
      </c>
      <c r="E32" s="21" t="s">
        <v>73</v>
      </c>
      <c r="F32" s="21" t="s">
        <v>73</v>
      </c>
      <c r="G32" s="21" t="s">
        <v>73</v>
      </c>
      <c r="H32" s="22" t="s">
        <v>5</v>
      </c>
      <c r="I32" s="6" t="s">
        <v>19</v>
      </c>
    </row>
    <row r="33" ht="15.75" customHeight="1">
      <c r="A33" s="6" t="s">
        <v>138</v>
      </c>
      <c r="B33" s="21" t="s">
        <v>139</v>
      </c>
      <c r="C33" s="6" t="s">
        <v>76</v>
      </c>
      <c r="D33" s="6" t="s">
        <v>5</v>
      </c>
      <c r="E33" s="21" t="s">
        <v>73</v>
      </c>
      <c r="F33" s="21" t="s">
        <v>73</v>
      </c>
      <c r="G33" s="21" t="s">
        <v>73</v>
      </c>
      <c r="H33" s="22" t="s">
        <v>5</v>
      </c>
      <c r="I33" s="6" t="s">
        <v>19</v>
      </c>
    </row>
    <row r="34" ht="15.75" customHeight="1">
      <c r="A34" s="6" t="s">
        <v>140</v>
      </c>
      <c r="B34" s="21" t="s">
        <v>141</v>
      </c>
      <c r="C34" s="6" t="s">
        <v>76</v>
      </c>
      <c r="D34" s="6" t="s">
        <v>5</v>
      </c>
      <c r="E34" s="21" t="s">
        <v>73</v>
      </c>
      <c r="F34" s="21" t="s">
        <v>73</v>
      </c>
      <c r="G34" s="21" t="s">
        <v>73</v>
      </c>
      <c r="H34" s="22" t="s">
        <v>5</v>
      </c>
      <c r="I34" s="6" t="s">
        <v>19</v>
      </c>
    </row>
    <row r="35" ht="15.75" customHeight="1">
      <c r="A35" s="6" t="s">
        <v>142</v>
      </c>
      <c r="B35" s="21" t="s">
        <v>143</v>
      </c>
      <c r="C35" s="6" t="s">
        <v>76</v>
      </c>
      <c r="D35" s="6" t="s">
        <v>5</v>
      </c>
      <c r="E35" s="21" t="s">
        <v>73</v>
      </c>
      <c r="F35" s="21" t="s">
        <v>73</v>
      </c>
      <c r="G35" s="21" t="s">
        <v>73</v>
      </c>
      <c r="H35" s="22" t="s">
        <v>5</v>
      </c>
      <c r="I35" s="6" t="s">
        <v>19</v>
      </c>
    </row>
    <row r="36" ht="15.75" customHeight="1">
      <c r="A36" s="6" t="s">
        <v>144</v>
      </c>
      <c r="B36" s="21" t="s">
        <v>145</v>
      </c>
      <c r="C36" s="6" t="s">
        <v>107</v>
      </c>
      <c r="D36" s="6" t="s">
        <v>5</v>
      </c>
      <c r="E36" s="21" t="s">
        <v>73</v>
      </c>
      <c r="F36" s="21" t="s">
        <v>73</v>
      </c>
      <c r="G36" s="21" t="s">
        <v>73</v>
      </c>
      <c r="H36" s="22" t="s">
        <v>5</v>
      </c>
      <c r="I36" s="6" t="s">
        <v>19</v>
      </c>
    </row>
    <row r="37" ht="15.75" customHeight="1">
      <c r="A37" s="6" t="s">
        <v>146</v>
      </c>
      <c r="B37" s="21" t="s">
        <v>147</v>
      </c>
      <c r="C37" s="6" t="s">
        <v>107</v>
      </c>
      <c r="D37" s="6" t="s">
        <v>5</v>
      </c>
      <c r="E37" s="21" t="s">
        <v>73</v>
      </c>
      <c r="F37" s="21" t="s">
        <v>73</v>
      </c>
      <c r="G37" s="21" t="s">
        <v>73</v>
      </c>
      <c r="H37" s="22" t="s">
        <v>5</v>
      </c>
      <c r="I37" s="6" t="s">
        <v>19</v>
      </c>
    </row>
    <row r="38" ht="15.75" customHeight="1">
      <c r="A38" s="6" t="s">
        <v>148</v>
      </c>
      <c r="B38" s="21" t="s">
        <v>149</v>
      </c>
      <c r="C38" s="6" t="s">
        <v>83</v>
      </c>
      <c r="D38" s="6" t="s">
        <v>5</v>
      </c>
      <c r="E38" s="21" t="s">
        <v>73</v>
      </c>
      <c r="F38" s="21" t="s">
        <v>73</v>
      </c>
      <c r="G38" s="21" t="s">
        <v>73</v>
      </c>
      <c r="H38" s="22" t="s">
        <v>5</v>
      </c>
      <c r="I38" s="6" t="s">
        <v>19</v>
      </c>
    </row>
    <row r="39" ht="15.75" customHeight="1">
      <c r="A39" s="6" t="s">
        <v>150</v>
      </c>
      <c r="B39" s="21" t="s">
        <v>151</v>
      </c>
      <c r="C39" s="6" t="s">
        <v>152</v>
      </c>
      <c r="D39" s="6" t="s">
        <v>7</v>
      </c>
      <c r="E39" s="21" t="s">
        <v>73</v>
      </c>
      <c r="F39" s="21" t="s">
        <v>73</v>
      </c>
      <c r="G39" s="21" t="s">
        <v>73</v>
      </c>
      <c r="H39" s="32" t="s">
        <v>7</v>
      </c>
      <c r="I39" s="6" t="s">
        <v>21</v>
      </c>
    </row>
    <row r="40" ht="15.75" customHeight="1">
      <c r="A40" s="6" t="s">
        <v>153</v>
      </c>
      <c r="B40" s="21" t="s">
        <v>154</v>
      </c>
      <c r="C40" s="6" t="s">
        <v>155</v>
      </c>
      <c r="D40" s="6" t="s">
        <v>7</v>
      </c>
      <c r="E40" s="21" t="s">
        <v>73</v>
      </c>
      <c r="F40" s="21" t="s">
        <v>73</v>
      </c>
      <c r="G40" s="21" t="s">
        <v>73</v>
      </c>
      <c r="H40" s="32" t="s">
        <v>7</v>
      </c>
      <c r="I40" s="6" t="s">
        <v>21</v>
      </c>
    </row>
    <row r="41" ht="15.75" customHeight="1">
      <c r="A41" s="6" t="s">
        <v>156</v>
      </c>
      <c r="B41" s="21" t="s">
        <v>157</v>
      </c>
      <c r="C41" s="6" t="s">
        <v>155</v>
      </c>
      <c r="D41" s="6" t="s">
        <v>7</v>
      </c>
      <c r="E41" s="21" t="s">
        <v>73</v>
      </c>
      <c r="F41" s="21" t="s">
        <v>73</v>
      </c>
      <c r="G41" s="21" t="s">
        <v>73</v>
      </c>
      <c r="H41" s="32" t="s">
        <v>7</v>
      </c>
      <c r="I41" s="6" t="s">
        <v>21</v>
      </c>
    </row>
    <row r="42" ht="15.75" customHeight="1">
      <c r="A42" s="6" t="s">
        <v>158</v>
      </c>
      <c r="B42" s="21" t="s">
        <v>159</v>
      </c>
      <c r="C42" s="6" t="s">
        <v>155</v>
      </c>
      <c r="D42" s="6" t="s">
        <v>7</v>
      </c>
      <c r="E42" s="21" t="s">
        <v>73</v>
      </c>
      <c r="F42" s="21" t="s">
        <v>73</v>
      </c>
      <c r="G42" s="21" t="s">
        <v>73</v>
      </c>
      <c r="H42" s="32" t="s">
        <v>7</v>
      </c>
      <c r="I42" s="6" t="s">
        <v>21</v>
      </c>
    </row>
    <row r="43" ht="15.75" customHeight="1">
      <c r="A43" s="6" t="s">
        <v>160</v>
      </c>
      <c r="B43" s="21" t="s">
        <v>161</v>
      </c>
      <c r="C43" s="6" t="s">
        <v>152</v>
      </c>
      <c r="D43" s="6" t="s">
        <v>7</v>
      </c>
      <c r="E43" s="21" t="s">
        <v>73</v>
      </c>
      <c r="F43" s="21" t="s">
        <v>73</v>
      </c>
      <c r="G43" s="21" t="s">
        <v>73</v>
      </c>
      <c r="H43" s="32" t="s">
        <v>7</v>
      </c>
      <c r="I43" s="6" t="s">
        <v>21</v>
      </c>
    </row>
    <row r="44" ht="15.75" customHeight="1">
      <c r="A44" s="6" t="s">
        <v>162</v>
      </c>
      <c r="B44" s="21" t="s">
        <v>163</v>
      </c>
      <c r="C44" s="6" t="s">
        <v>155</v>
      </c>
      <c r="D44" s="6" t="s">
        <v>7</v>
      </c>
      <c r="E44" s="21" t="s">
        <v>73</v>
      </c>
      <c r="F44" s="21" t="s">
        <v>73</v>
      </c>
      <c r="G44" s="21" t="s">
        <v>73</v>
      </c>
      <c r="H44" s="32" t="s">
        <v>7</v>
      </c>
      <c r="I44" s="6" t="s">
        <v>21</v>
      </c>
    </row>
    <row r="45" ht="15.75" customHeight="1">
      <c r="A45" s="6" t="s">
        <v>164</v>
      </c>
      <c r="B45" s="21" t="s">
        <v>165</v>
      </c>
      <c r="C45" s="6" t="s">
        <v>155</v>
      </c>
      <c r="D45" s="6" t="s">
        <v>7</v>
      </c>
      <c r="E45" s="21" t="s">
        <v>73</v>
      </c>
      <c r="F45" s="21" t="s">
        <v>73</v>
      </c>
      <c r="G45" s="21" t="s">
        <v>73</v>
      </c>
      <c r="H45" s="32" t="s">
        <v>7</v>
      </c>
      <c r="I45" s="6" t="s">
        <v>21</v>
      </c>
    </row>
    <row r="46" ht="15.75" customHeight="1">
      <c r="A46" s="6" t="s">
        <v>166</v>
      </c>
      <c r="B46" s="21" t="s">
        <v>167</v>
      </c>
      <c r="C46" s="6" t="s">
        <v>155</v>
      </c>
      <c r="D46" s="6" t="s">
        <v>7</v>
      </c>
      <c r="E46" s="21" t="s">
        <v>73</v>
      </c>
      <c r="F46" s="21" t="s">
        <v>73</v>
      </c>
      <c r="G46" s="21" t="s">
        <v>73</v>
      </c>
      <c r="H46" s="32" t="s">
        <v>7</v>
      </c>
      <c r="I46" s="6" t="s">
        <v>21</v>
      </c>
    </row>
    <row r="47" ht="15.75" customHeight="1">
      <c r="A47" s="6" t="s">
        <v>168</v>
      </c>
      <c r="B47" s="21" t="s">
        <v>169</v>
      </c>
      <c r="C47" s="6" t="s">
        <v>152</v>
      </c>
      <c r="D47" s="6" t="s">
        <v>7</v>
      </c>
      <c r="E47" s="21" t="s">
        <v>73</v>
      </c>
      <c r="F47" s="21" t="s">
        <v>73</v>
      </c>
      <c r="G47" s="21" t="s">
        <v>73</v>
      </c>
      <c r="H47" s="32" t="s">
        <v>7</v>
      </c>
      <c r="I47" s="6" t="s">
        <v>21</v>
      </c>
    </row>
    <row r="48" ht="15.75" customHeight="1">
      <c r="A48" s="6" t="s">
        <v>170</v>
      </c>
      <c r="B48" s="21" t="s">
        <v>171</v>
      </c>
      <c r="C48" s="6" t="s">
        <v>152</v>
      </c>
      <c r="D48" s="6" t="s">
        <v>7</v>
      </c>
      <c r="E48" s="21" t="s">
        <v>73</v>
      </c>
      <c r="F48" s="21" t="s">
        <v>73</v>
      </c>
      <c r="G48" s="21" t="s">
        <v>73</v>
      </c>
      <c r="H48" s="32" t="s">
        <v>7</v>
      </c>
      <c r="I48" s="6" t="s">
        <v>21</v>
      </c>
    </row>
    <row r="49" ht="15.75" customHeight="1">
      <c r="A49" s="6" t="s">
        <v>172</v>
      </c>
      <c r="B49" s="21" t="s">
        <v>173</v>
      </c>
      <c r="C49" s="6" t="s">
        <v>155</v>
      </c>
      <c r="D49" s="6" t="s">
        <v>7</v>
      </c>
      <c r="E49" s="21" t="s">
        <v>73</v>
      </c>
      <c r="F49" s="21" t="s">
        <v>73</v>
      </c>
      <c r="G49" s="21" t="s">
        <v>73</v>
      </c>
      <c r="H49" s="32" t="s">
        <v>7</v>
      </c>
      <c r="I49" s="6" t="s">
        <v>21</v>
      </c>
    </row>
    <row r="50" ht="15.75" customHeight="1">
      <c r="A50" s="6" t="s">
        <v>174</v>
      </c>
      <c r="B50" s="21" t="s">
        <v>175</v>
      </c>
      <c r="C50" s="6" t="s">
        <v>155</v>
      </c>
      <c r="D50" s="6" t="s">
        <v>7</v>
      </c>
      <c r="E50" s="21" t="s">
        <v>73</v>
      </c>
      <c r="F50" s="21" t="s">
        <v>73</v>
      </c>
      <c r="G50" s="21" t="s">
        <v>73</v>
      </c>
      <c r="H50" s="32" t="s">
        <v>7</v>
      </c>
      <c r="I50" s="6" t="s">
        <v>21</v>
      </c>
    </row>
    <row r="51" ht="15.75" customHeight="1">
      <c r="A51" s="6" t="s">
        <v>176</v>
      </c>
      <c r="B51" s="21" t="s">
        <v>177</v>
      </c>
      <c r="C51" s="6" t="s">
        <v>152</v>
      </c>
      <c r="D51" s="6" t="s">
        <v>7</v>
      </c>
      <c r="E51" s="21" t="s">
        <v>73</v>
      </c>
      <c r="F51" s="21" t="s">
        <v>73</v>
      </c>
      <c r="G51" s="21" t="s">
        <v>73</v>
      </c>
      <c r="H51" s="32" t="s">
        <v>7</v>
      </c>
      <c r="I51" s="6" t="s">
        <v>21</v>
      </c>
    </row>
    <row r="52" ht="15.75" customHeight="1">
      <c r="A52" s="6" t="s">
        <v>178</v>
      </c>
      <c r="B52" s="21" t="s">
        <v>179</v>
      </c>
      <c r="C52" s="6" t="s">
        <v>155</v>
      </c>
      <c r="D52" s="6" t="s">
        <v>7</v>
      </c>
      <c r="E52" s="21" t="s">
        <v>73</v>
      </c>
      <c r="F52" s="21" t="s">
        <v>73</v>
      </c>
      <c r="G52" s="21" t="s">
        <v>73</v>
      </c>
      <c r="H52" s="32" t="s">
        <v>7</v>
      </c>
      <c r="I52" s="6" t="s">
        <v>21</v>
      </c>
    </row>
    <row r="53" ht="15.75" customHeight="1">
      <c r="A53" s="6" t="s">
        <v>180</v>
      </c>
      <c r="B53" s="21" t="s">
        <v>181</v>
      </c>
      <c r="C53" s="6" t="s">
        <v>155</v>
      </c>
      <c r="D53" s="6" t="s">
        <v>7</v>
      </c>
      <c r="E53" s="21" t="s">
        <v>73</v>
      </c>
      <c r="F53" s="21" t="s">
        <v>73</v>
      </c>
      <c r="G53" s="21" t="s">
        <v>73</v>
      </c>
      <c r="H53" s="32" t="s">
        <v>7</v>
      </c>
      <c r="I53" s="6" t="s">
        <v>21</v>
      </c>
    </row>
    <row r="54" ht="15.75" customHeight="1">
      <c r="A54" s="6" t="s">
        <v>182</v>
      </c>
      <c r="B54" s="21" t="s">
        <v>183</v>
      </c>
      <c r="C54" s="6" t="s">
        <v>155</v>
      </c>
      <c r="D54" s="6" t="s">
        <v>7</v>
      </c>
      <c r="E54" s="21" t="s">
        <v>73</v>
      </c>
      <c r="F54" s="21" t="s">
        <v>73</v>
      </c>
      <c r="G54" s="21" t="s">
        <v>73</v>
      </c>
      <c r="H54" s="32" t="s">
        <v>7</v>
      </c>
      <c r="I54" s="6" t="s">
        <v>21</v>
      </c>
    </row>
    <row r="55" ht="15.75" customHeight="1">
      <c r="A55" s="6" t="s">
        <v>184</v>
      </c>
      <c r="B55" s="21" t="s">
        <v>185</v>
      </c>
      <c r="C55" s="6" t="s">
        <v>155</v>
      </c>
      <c r="D55" s="6" t="s">
        <v>7</v>
      </c>
      <c r="E55" s="21" t="s">
        <v>73</v>
      </c>
      <c r="F55" s="21" t="s">
        <v>73</v>
      </c>
      <c r="G55" s="21" t="s">
        <v>73</v>
      </c>
      <c r="H55" s="32" t="s">
        <v>7</v>
      </c>
      <c r="I55" s="6" t="s">
        <v>21</v>
      </c>
    </row>
    <row r="56" ht="15.75" customHeight="1">
      <c r="A56" s="6" t="s">
        <v>186</v>
      </c>
      <c r="B56" s="21" t="s">
        <v>187</v>
      </c>
      <c r="C56" s="6" t="s">
        <v>188</v>
      </c>
      <c r="D56" s="6" t="s">
        <v>189</v>
      </c>
      <c r="E56" s="21" t="s">
        <v>190</v>
      </c>
      <c r="F56" s="21" t="s">
        <v>190</v>
      </c>
      <c r="G56" s="21" t="s">
        <v>190</v>
      </c>
      <c r="H56" s="33" t="s">
        <v>15</v>
      </c>
      <c r="I56" s="6" t="s">
        <v>191</v>
      </c>
    </row>
    <row r="57" ht="15.75" customHeight="1">
      <c r="A57" s="6" t="s">
        <v>192</v>
      </c>
      <c r="B57" s="21" t="s">
        <v>193</v>
      </c>
      <c r="C57" s="6" t="s">
        <v>194</v>
      </c>
      <c r="D57" s="6" t="s">
        <v>189</v>
      </c>
      <c r="E57" s="21" t="s">
        <v>190</v>
      </c>
      <c r="F57" s="21" t="s">
        <v>190</v>
      </c>
      <c r="G57" s="21" t="s">
        <v>190</v>
      </c>
      <c r="H57" s="33" t="s">
        <v>15</v>
      </c>
      <c r="I57" s="6" t="s">
        <v>191</v>
      </c>
    </row>
    <row r="58" ht="15.75" customHeight="1">
      <c r="A58" s="6" t="s">
        <v>195</v>
      </c>
      <c r="B58" s="21" t="s">
        <v>196</v>
      </c>
      <c r="C58" s="6" t="s">
        <v>197</v>
      </c>
      <c r="D58" s="6" t="s">
        <v>189</v>
      </c>
      <c r="E58" s="21" t="s">
        <v>190</v>
      </c>
      <c r="F58" s="21" t="s">
        <v>190</v>
      </c>
      <c r="G58" s="21" t="s">
        <v>190</v>
      </c>
      <c r="H58" s="33" t="s">
        <v>15</v>
      </c>
      <c r="I58" s="6" t="s">
        <v>191</v>
      </c>
    </row>
    <row r="59" ht="15.75" customHeight="1">
      <c r="A59" s="6" t="s">
        <v>198</v>
      </c>
      <c r="B59" s="21" t="s">
        <v>199</v>
      </c>
      <c r="C59" s="6" t="s">
        <v>200</v>
      </c>
      <c r="D59" s="6" t="s">
        <v>189</v>
      </c>
      <c r="E59" s="21" t="s">
        <v>190</v>
      </c>
      <c r="F59" s="21" t="s">
        <v>190</v>
      </c>
      <c r="G59" s="21" t="s">
        <v>190</v>
      </c>
      <c r="H59" s="33" t="s">
        <v>15</v>
      </c>
      <c r="I59" s="6" t="s">
        <v>191</v>
      </c>
    </row>
    <row r="60" ht="15.75" customHeight="1">
      <c r="A60" s="6" t="s">
        <v>201</v>
      </c>
      <c r="B60" s="21" t="s">
        <v>202</v>
      </c>
      <c r="C60" s="6" t="s">
        <v>200</v>
      </c>
      <c r="D60" s="6" t="s">
        <v>189</v>
      </c>
      <c r="E60" s="21" t="s">
        <v>190</v>
      </c>
      <c r="F60" s="21" t="s">
        <v>190</v>
      </c>
      <c r="G60" s="21" t="s">
        <v>190</v>
      </c>
      <c r="H60" s="33" t="s">
        <v>15</v>
      </c>
      <c r="I60" s="6" t="s">
        <v>191</v>
      </c>
    </row>
    <row r="61" ht="15.75" customHeight="1">
      <c r="A61" s="6" t="s">
        <v>203</v>
      </c>
      <c r="B61" s="21" t="s">
        <v>204</v>
      </c>
      <c r="C61" s="6" t="s">
        <v>200</v>
      </c>
      <c r="D61" s="6" t="s">
        <v>189</v>
      </c>
      <c r="E61" s="21" t="s">
        <v>190</v>
      </c>
      <c r="F61" s="21" t="s">
        <v>190</v>
      </c>
      <c r="G61" s="21" t="s">
        <v>190</v>
      </c>
      <c r="H61" s="33" t="s">
        <v>15</v>
      </c>
      <c r="I61" s="6" t="s">
        <v>191</v>
      </c>
    </row>
    <row r="62" ht="15.75" customHeight="1">
      <c r="A62" s="6" t="s">
        <v>205</v>
      </c>
      <c r="B62" s="21" t="s">
        <v>206</v>
      </c>
      <c r="C62" s="6" t="s">
        <v>207</v>
      </c>
      <c r="D62" s="6" t="s">
        <v>189</v>
      </c>
      <c r="E62" s="21" t="s">
        <v>190</v>
      </c>
      <c r="F62" s="21" t="s">
        <v>190</v>
      </c>
      <c r="G62" s="21" t="s">
        <v>190</v>
      </c>
      <c r="H62" s="33" t="s">
        <v>15</v>
      </c>
      <c r="I62" s="6" t="s">
        <v>208</v>
      </c>
    </row>
    <row r="63" ht="15.75" customHeight="1">
      <c r="A63" s="6" t="s">
        <v>209</v>
      </c>
      <c r="B63" s="21" t="s">
        <v>210</v>
      </c>
      <c r="C63" s="6" t="s">
        <v>211</v>
      </c>
      <c r="D63" s="6" t="s">
        <v>189</v>
      </c>
      <c r="E63" s="21" t="s">
        <v>190</v>
      </c>
      <c r="F63" s="21" t="s">
        <v>73</v>
      </c>
      <c r="G63" s="21" t="s">
        <v>73</v>
      </c>
      <c r="H63" s="34" t="s">
        <v>11</v>
      </c>
      <c r="I63" s="6" t="s">
        <v>212</v>
      </c>
    </row>
    <row r="64" ht="15.75" customHeight="1">
      <c r="A64" s="6" t="s">
        <v>213</v>
      </c>
      <c r="B64" s="21" t="s">
        <v>214</v>
      </c>
      <c r="C64" s="6" t="s">
        <v>215</v>
      </c>
      <c r="D64" s="6" t="s">
        <v>189</v>
      </c>
      <c r="E64" s="21" t="s">
        <v>190</v>
      </c>
      <c r="F64" s="21" t="s">
        <v>73</v>
      </c>
      <c r="G64" s="21" t="s">
        <v>73</v>
      </c>
      <c r="H64" s="34" t="s">
        <v>11</v>
      </c>
      <c r="I64" s="6" t="s">
        <v>212</v>
      </c>
    </row>
    <row r="65" ht="15.75" customHeight="1">
      <c r="A65" s="6" t="s">
        <v>216</v>
      </c>
      <c r="B65" s="21" t="s">
        <v>217</v>
      </c>
      <c r="C65" s="6" t="s">
        <v>211</v>
      </c>
      <c r="D65" s="6" t="s">
        <v>189</v>
      </c>
      <c r="E65" s="21" t="s">
        <v>190</v>
      </c>
      <c r="F65" s="21" t="s">
        <v>73</v>
      </c>
      <c r="G65" s="21" t="s">
        <v>73</v>
      </c>
      <c r="H65" s="34" t="s">
        <v>11</v>
      </c>
      <c r="I65" s="6" t="s">
        <v>212</v>
      </c>
    </row>
    <row r="66" ht="15.75" customHeight="1">
      <c r="A66" s="6" t="s">
        <v>218</v>
      </c>
      <c r="B66" s="21" t="s">
        <v>219</v>
      </c>
      <c r="C66" s="6" t="s">
        <v>194</v>
      </c>
      <c r="D66" s="6" t="s">
        <v>189</v>
      </c>
      <c r="E66" s="21" t="s">
        <v>190</v>
      </c>
      <c r="F66" s="21" t="s">
        <v>73</v>
      </c>
      <c r="G66" s="21" t="s">
        <v>73</v>
      </c>
      <c r="H66" s="34" t="s">
        <v>11</v>
      </c>
      <c r="I66" s="6" t="s">
        <v>212</v>
      </c>
    </row>
    <row r="67" ht="15.75" customHeight="1">
      <c r="A67" s="6" t="s">
        <v>220</v>
      </c>
      <c r="B67" s="21" t="s">
        <v>221</v>
      </c>
      <c r="C67" s="6" t="s">
        <v>194</v>
      </c>
      <c r="D67" s="6" t="s">
        <v>189</v>
      </c>
      <c r="E67" s="21" t="s">
        <v>190</v>
      </c>
      <c r="F67" s="21" t="s">
        <v>73</v>
      </c>
      <c r="G67" s="21" t="s">
        <v>73</v>
      </c>
      <c r="H67" s="34" t="s">
        <v>11</v>
      </c>
      <c r="I67" s="6" t="s">
        <v>212</v>
      </c>
    </row>
    <row r="68" ht="15.75" customHeight="1">
      <c r="A68" s="6" t="s">
        <v>222</v>
      </c>
      <c r="B68" s="21" t="s">
        <v>223</v>
      </c>
      <c r="C68" s="6" t="s">
        <v>188</v>
      </c>
      <c r="D68" s="6" t="s">
        <v>189</v>
      </c>
      <c r="E68" s="21" t="s">
        <v>190</v>
      </c>
      <c r="F68" s="21" t="s">
        <v>73</v>
      </c>
      <c r="G68" s="21" t="s">
        <v>73</v>
      </c>
      <c r="H68" s="34" t="s">
        <v>11</v>
      </c>
      <c r="I68" s="6" t="s">
        <v>212</v>
      </c>
    </row>
    <row r="69" ht="15.75" customHeight="1">
      <c r="A69" s="6" t="s">
        <v>224</v>
      </c>
      <c r="B69" s="21" t="s">
        <v>225</v>
      </c>
      <c r="C69" s="6" t="s">
        <v>200</v>
      </c>
      <c r="D69" s="6" t="s">
        <v>189</v>
      </c>
      <c r="E69" s="21" t="s">
        <v>190</v>
      </c>
      <c r="F69" s="21" t="s">
        <v>73</v>
      </c>
      <c r="G69" s="21" t="s">
        <v>73</v>
      </c>
      <c r="H69" s="34" t="s">
        <v>11</v>
      </c>
      <c r="I69" s="6" t="s">
        <v>212</v>
      </c>
    </row>
    <row r="70" ht="15.75" customHeight="1">
      <c r="A70" s="6" t="s">
        <v>226</v>
      </c>
      <c r="B70" s="21" t="s">
        <v>227</v>
      </c>
      <c r="C70" s="6" t="s">
        <v>228</v>
      </c>
      <c r="D70" s="6" t="s">
        <v>189</v>
      </c>
      <c r="E70" s="21" t="s">
        <v>190</v>
      </c>
      <c r="F70" s="21" t="s">
        <v>73</v>
      </c>
      <c r="G70" s="21" t="s">
        <v>73</v>
      </c>
      <c r="H70" s="34" t="s">
        <v>11</v>
      </c>
      <c r="I70" s="6" t="s">
        <v>212</v>
      </c>
    </row>
    <row r="71" ht="15.75" customHeight="1">
      <c r="A71" s="6" t="s">
        <v>229</v>
      </c>
      <c r="B71" s="21" t="s">
        <v>230</v>
      </c>
      <c r="C71" s="6" t="s">
        <v>228</v>
      </c>
      <c r="D71" s="6" t="s">
        <v>189</v>
      </c>
      <c r="E71" s="21" t="s">
        <v>190</v>
      </c>
      <c r="F71" s="21" t="s">
        <v>73</v>
      </c>
      <c r="G71" s="21" t="s">
        <v>73</v>
      </c>
      <c r="H71" s="34" t="s">
        <v>11</v>
      </c>
      <c r="I71" s="6" t="s">
        <v>212</v>
      </c>
    </row>
    <row r="72" ht="15.75" customHeight="1">
      <c r="A72" s="6" t="s">
        <v>231</v>
      </c>
      <c r="B72" s="21" t="s">
        <v>232</v>
      </c>
      <c r="C72" s="6" t="s">
        <v>188</v>
      </c>
      <c r="D72" s="6" t="s">
        <v>189</v>
      </c>
      <c r="E72" s="21" t="s">
        <v>190</v>
      </c>
      <c r="F72" s="21" t="s">
        <v>73</v>
      </c>
      <c r="G72" s="21" t="s">
        <v>73</v>
      </c>
      <c r="H72" s="34" t="s">
        <v>11</v>
      </c>
      <c r="I72" s="6" t="s">
        <v>212</v>
      </c>
    </row>
    <row r="73" ht="15.75" customHeight="1">
      <c r="A73" s="6" t="s">
        <v>233</v>
      </c>
      <c r="B73" s="21" t="s">
        <v>234</v>
      </c>
      <c r="C73" s="6" t="s">
        <v>188</v>
      </c>
      <c r="D73" s="6" t="s">
        <v>189</v>
      </c>
      <c r="E73" s="21" t="s">
        <v>190</v>
      </c>
      <c r="F73" s="21" t="s">
        <v>73</v>
      </c>
      <c r="G73" s="21" t="s">
        <v>73</v>
      </c>
      <c r="H73" s="34" t="s">
        <v>11</v>
      </c>
      <c r="I73" s="6" t="s">
        <v>212</v>
      </c>
    </row>
    <row r="74" ht="15.75" customHeight="1">
      <c r="A74" s="6" t="s">
        <v>235</v>
      </c>
      <c r="B74" s="21" t="s">
        <v>236</v>
      </c>
      <c r="C74" s="6" t="s">
        <v>188</v>
      </c>
      <c r="D74" s="6" t="s">
        <v>189</v>
      </c>
      <c r="E74" s="21" t="s">
        <v>190</v>
      </c>
      <c r="F74" s="21" t="s">
        <v>73</v>
      </c>
      <c r="G74" s="21" t="s">
        <v>73</v>
      </c>
      <c r="H74" s="34" t="s">
        <v>11</v>
      </c>
      <c r="I74" s="6" t="s">
        <v>212</v>
      </c>
    </row>
    <row r="75" ht="15.75" customHeight="1">
      <c r="A75" s="6" t="s">
        <v>237</v>
      </c>
      <c r="B75" s="21" t="s">
        <v>238</v>
      </c>
      <c r="C75" s="6" t="s">
        <v>188</v>
      </c>
      <c r="D75" s="6" t="s">
        <v>189</v>
      </c>
      <c r="E75" s="21" t="s">
        <v>190</v>
      </c>
      <c r="F75" s="21" t="s">
        <v>73</v>
      </c>
      <c r="G75" s="21" t="s">
        <v>73</v>
      </c>
      <c r="H75" s="34" t="s">
        <v>11</v>
      </c>
      <c r="I75" s="6" t="s">
        <v>212</v>
      </c>
    </row>
    <row r="76" ht="15.75" customHeight="1">
      <c r="A76" s="6" t="s">
        <v>239</v>
      </c>
      <c r="B76" s="21" t="s">
        <v>240</v>
      </c>
      <c r="C76" s="6" t="s">
        <v>194</v>
      </c>
      <c r="D76" s="6" t="s">
        <v>189</v>
      </c>
      <c r="E76" s="21" t="s">
        <v>190</v>
      </c>
      <c r="F76" s="21" t="s">
        <v>73</v>
      </c>
      <c r="G76" s="21" t="s">
        <v>73</v>
      </c>
      <c r="H76" s="34" t="s">
        <v>11</v>
      </c>
      <c r="I76" s="6" t="s">
        <v>212</v>
      </c>
    </row>
    <row r="77" ht="15.75" customHeight="1">
      <c r="A77" s="6" t="s">
        <v>241</v>
      </c>
      <c r="B77" s="21" t="s">
        <v>242</v>
      </c>
      <c r="C77" s="6" t="s">
        <v>194</v>
      </c>
      <c r="D77" s="6" t="s">
        <v>189</v>
      </c>
      <c r="E77" s="21" t="s">
        <v>190</v>
      </c>
      <c r="F77" s="21" t="s">
        <v>73</v>
      </c>
      <c r="G77" s="21" t="s">
        <v>73</v>
      </c>
      <c r="H77" s="34" t="s">
        <v>11</v>
      </c>
      <c r="I77" s="6" t="s">
        <v>212</v>
      </c>
    </row>
    <row r="78" ht="15.75" customHeight="1">
      <c r="A78" s="6" t="s">
        <v>243</v>
      </c>
      <c r="B78" s="21" t="s">
        <v>244</v>
      </c>
      <c r="C78" s="6" t="s">
        <v>200</v>
      </c>
      <c r="D78" s="6" t="s">
        <v>189</v>
      </c>
      <c r="E78" s="21" t="s">
        <v>190</v>
      </c>
      <c r="F78" s="21" t="s">
        <v>73</v>
      </c>
      <c r="G78" s="21" t="s">
        <v>73</v>
      </c>
      <c r="H78" s="34" t="s">
        <v>11</v>
      </c>
      <c r="I78" s="6" t="s">
        <v>212</v>
      </c>
    </row>
    <row r="79" ht="15.75" customHeight="1">
      <c r="A79" s="6" t="s">
        <v>245</v>
      </c>
      <c r="B79" s="21" t="s">
        <v>246</v>
      </c>
      <c r="C79" s="6" t="s">
        <v>215</v>
      </c>
      <c r="D79" s="6" t="s">
        <v>189</v>
      </c>
      <c r="E79" s="21" t="s">
        <v>190</v>
      </c>
      <c r="F79" s="21" t="s">
        <v>73</v>
      </c>
      <c r="G79" s="21" t="s">
        <v>73</v>
      </c>
      <c r="H79" s="34" t="s">
        <v>11</v>
      </c>
      <c r="I79" s="6" t="s">
        <v>212</v>
      </c>
    </row>
    <row r="80" ht="15.75" customHeight="1">
      <c r="A80" s="6" t="s">
        <v>247</v>
      </c>
      <c r="B80" s="21" t="s">
        <v>248</v>
      </c>
      <c r="C80" s="6" t="s">
        <v>194</v>
      </c>
      <c r="D80" s="6" t="s">
        <v>189</v>
      </c>
      <c r="E80" s="21" t="s">
        <v>190</v>
      </c>
      <c r="F80" s="21" t="s">
        <v>73</v>
      </c>
      <c r="G80" s="21" t="s">
        <v>73</v>
      </c>
      <c r="H80" s="34" t="s">
        <v>11</v>
      </c>
      <c r="I80" s="6" t="s">
        <v>212</v>
      </c>
    </row>
    <row r="81" ht="15.75" customHeight="1">
      <c r="A81" s="6" t="s">
        <v>249</v>
      </c>
      <c r="B81" s="21" t="s">
        <v>250</v>
      </c>
      <c r="C81" s="6" t="s">
        <v>188</v>
      </c>
      <c r="D81" s="6" t="s">
        <v>189</v>
      </c>
      <c r="E81" s="21" t="s">
        <v>190</v>
      </c>
      <c r="F81" s="21" t="s">
        <v>73</v>
      </c>
      <c r="G81" s="21" t="s">
        <v>73</v>
      </c>
      <c r="H81" s="34" t="s">
        <v>11</v>
      </c>
      <c r="I81" s="6" t="s">
        <v>212</v>
      </c>
    </row>
    <row r="82" ht="15.75" customHeight="1">
      <c r="A82" s="6" t="s">
        <v>251</v>
      </c>
      <c r="B82" s="21" t="s">
        <v>252</v>
      </c>
      <c r="C82" s="6" t="s">
        <v>215</v>
      </c>
      <c r="D82" s="6" t="s">
        <v>189</v>
      </c>
      <c r="E82" s="21" t="s">
        <v>190</v>
      </c>
      <c r="F82" s="21" t="s">
        <v>73</v>
      </c>
      <c r="G82" s="21" t="s">
        <v>73</v>
      </c>
      <c r="H82" s="34" t="s">
        <v>11</v>
      </c>
      <c r="I82" s="6" t="s">
        <v>212</v>
      </c>
    </row>
    <row r="83" ht="15.75" customHeight="1">
      <c r="A83" s="6" t="s">
        <v>253</v>
      </c>
      <c r="B83" s="21" t="s">
        <v>254</v>
      </c>
      <c r="C83" s="6" t="s">
        <v>194</v>
      </c>
      <c r="D83" s="6" t="s">
        <v>189</v>
      </c>
      <c r="E83" s="21" t="s">
        <v>190</v>
      </c>
      <c r="F83" s="21" t="s">
        <v>73</v>
      </c>
      <c r="G83" s="21" t="s">
        <v>73</v>
      </c>
      <c r="H83" s="34" t="s">
        <v>11</v>
      </c>
      <c r="I83" s="6" t="s">
        <v>212</v>
      </c>
    </row>
    <row r="84" ht="15.75" customHeight="1">
      <c r="A84" s="6" t="s">
        <v>255</v>
      </c>
      <c r="B84" s="21" t="s">
        <v>256</v>
      </c>
      <c r="C84" s="6" t="s">
        <v>257</v>
      </c>
      <c r="D84" s="6" t="s">
        <v>189</v>
      </c>
      <c r="E84" s="21" t="s">
        <v>190</v>
      </c>
      <c r="F84" s="21" t="s">
        <v>73</v>
      </c>
      <c r="G84" s="21" t="s">
        <v>73</v>
      </c>
      <c r="H84" s="34" t="s">
        <v>11</v>
      </c>
      <c r="I84" s="6" t="s">
        <v>212</v>
      </c>
    </row>
    <row r="85" ht="15.75" customHeight="1">
      <c r="A85" s="6" t="s">
        <v>258</v>
      </c>
      <c r="B85" s="21" t="s">
        <v>259</v>
      </c>
      <c r="C85" s="6" t="s">
        <v>215</v>
      </c>
      <c r="D85" s="6" t="s">
        <v>189</v>
      </c>
      <c r="E85" s="21" t="s">
        <v>190</v>
      </c>
      <c r="F85" s="21" t="s">
        <v>73</v>
      </c>
      <c r="G85" s="21" t="s">
        <v>73</v>
      </c>
      <c r="H85" s="34" t="s">
        <v>11</v>
      </c>
      <c r="I85" s="6" t="s">
        <v>212</v>
      </c>
    </row>
    <row r="86" ht="15.75" customHeight="1">
      <c r="A86" s="6" t="s">
        <v>260</v>
      </c>
      <c r="B86" s="21" t="s">
        <v>261</v>
      </c>
      <c r="C86" s="6" t="s">
        <v>200</v>
      </c>
      <c r="D86" s="6" t="s">
        <v>189</v>
      </c>
      <c r="E86" s="21" t="s">
        <v>190</v>
      </c>
      <c r="F86" s="21" t="s">
        <v>73</v>
      </c>
      <c r="G86" s="21" t="s">
        <v>73</v>
      </c>
      <c r="H86" s="34" t="s">
        <v>11</v>
      </c>
      <c r="I86" s="6" t="s">
        <v>212</v>
      </c>
    </row>
    <row r="87" ht="15.75" customHeight="1">
      <c r="A87" s="6" t="s">
        <v>262</v>
      </c>
      <c r="B87" s="21" t="s">
        <v>263</v>
      </c>
      <c r="C87" s="6" t="s">
        <v>211</v>
      </c>
      <c r="D87" s="6" t="s">
        <v>189</v>
      </c>
      <c r="E87" s="21" t="s">
        <v>190</v>
      </c>
      <c r="F87" s="21" t="s">
        <v>73</v>
      </c>
      <c r="G87" s="21" t="s">
        <v>73</v>
      </c>
      <c r="H87" s="34" t="s">
        <v>11</v>
      </c>
      <c r="I87" s="6" t="s">
        <v>212</v>
      </c>
    </row>
    <row r="88" ht="15.75" customHeight="1">
      <c r="A88" s="6" t="s">
        <v>264</v>
      </c>
      <c r="B88" s="21" t="s">
        <v>265</v>
      </c>
      <c r="C88" s="6" t="s">
        <v>194</v>
      </c>
      <c r="D88" s="6" t="s">
        <v>189</v>
      </c>
      <c r="E88" s="21" t="s">
        <v>190</v>
      </c>
      <c r="F88" s="21" t="s">
        <v>73</v>
      </c>
      <c r="G88" s="21" t="s">
        <v>73</v>
      </c>
      <c r="H88" s="34" t="s">
        <v>11</v>
      </c>
      <c r="I88" s="6" t="s">
        <v>212</v>
      </c>
    </row>
    <row r="89" ht="15.75" customHeight="1">
      <c r="A89" s="6" t="s">
        <v>266</v>
      </c>
      <c r="B89" s="21" t="s">
        <v>267</v>
      </c>
      <c r="C89" s="6" t="s">
        <v>188</v>
      </c>
      <c r="D89" s="6" t="s">
        <v>189</v>
      </c>
      <c r="E89" s="21" t="s">
        <v>190</v>
      </c>
      <c r="F89" s="21" t="s">
        <v>73</v>
      </c>
      <c r="G89" s="21" t="s">
        <v>73</v>
      </c>
      <c r="H89" s="34" t="s">
        <v>11</v>
      </c>
      <c r="I89" s="6" t="s">
        <v>212</v>
      </c>
    </row>
    <row r="90" ht="15.75" customHeight="1">
      <c r="A90" s="6" t="s">
        <v>268</v>
      </c>
      <c r="B90" s="21" t="s">
        <v>269</v>
      </c>
      <c r="C90" s="6" t="s">
        <v>194</v>
      </c>
      <c r="D90" s="6" t="s">
        <v>189</v>
      </c>
      <c r="E90" s="21" t="s">
        <v>190</v>
      </c>
      <c r="F90" s="21" t="s">
        <v>73</v>
      </c>
      <c r="G90" s="21" t="s">
        <v>73</v>
      </c>
      <c r="H90" s="34" t="s">
        <v>11</v>
      </c>
      <c r="I90" s="6" t="s">
        <v>212</v>
      </c>
    </row>
    <row r="91" ht="15.75" customHeight="1">
      <c r="A91" s="6" t="s">
        <v>270</v>
      </c>
      <c r="B91" s="21" t="s">
        <v>271</v>
      </c>
      <c r="C91" s="6" t="s">
        <v>194</v>
      </c>
      <c r="D91" s="6" t="s">
        <v>189</v>
      </c>
      <c r="E91" s="21" t="s">
        <v>190</v>
      </c>
      <c r="F91" s="21" t="s">
        <v>73</v>
      </c>
      <c r="G91" s="21" t="s">
        <v>73</v>
      </c>
      <c r="H91" s="34" t="s">
        <v>11</v>
      </c>
      <c r="I91" s="6" t="s">
        <v>212</v>
      </c>
    </row>
    <row r="92" ht="15.75" customHeight="1">
      <c r="A92" s="6" t="s">
        <v>272</v>
      </c>
      <c r="B92" s="21" t="s">
        <v>273</v>
      </c>
      <c r="C92" s="6" t="s">
        <v>188</v>
      </c>
      <c r="D92" s="6" t="s">
        <v>189</v>
      </c>
      <c r="E92" s="21" t="s">
        <v>190</v>
      </c>
      <c r="F92" s="21" t="s">
        <v>73</v>
      </c>
      <c r="G92" s="21" t="s">
        <v>73</v>
      </c>
      <c r="H92" s="34" t="s">
        <v>11</v>
      </c>
      <c r="I92" s="6" t="s">
        <v>212</v>
      </c>
    </row>
    <row r="93" ht="15.75" customHeight="1">
      <c r="A93" s="6" t="s">
        <v>274</v>
      </c>
      <c r="B93" s="21" t="s">
        <v>275</v>
      </c>
      <c r="C93" s="6" t="s">
        <v>188</v>
      </c>
      <c r="D93" s="6" t="s">
        <v>189</v>
      </c>
      <c r="E93" s="21" t="s">
        <v>190</v>
      </c>
      <c r="F93" s="21" t="s">
        <v>73</v>
      </c>
      <c r="G93" s="21" t="s">
        <v>73</v>
      </c>
      <c r="H93" s="34" t="s">
        <v>11</v>
      </c>
      <c r="I93" s="6" t="s">
        <v>212</v>
      </c>
    </row>
    <row r="94" ht="15.75" customHeight="1">
      <c r="A94" s="6" t="s">
        <v>276</v>
      </c>
      <c r="B94" s="21" t="s">
        <v>277</v>
      </c>
      <c r="C94" s="6" t="s">
        <v>257</v>
      </c>
      <c r="D94" s="6" t="s">
        <v>189</v>
      </c>
      <c r="E94" s="21" t="s">
        <v>190</v>
      </c>
      <c r="F94" s="21" t="s">
        <v>73</v>
      </c>
      <c r="G94" s="21" t="s">
        <v>73</v>
      </c>
      <c r="H94" s="34" t="s">
        <v>11</v>
      </c>
      <c r="I94" s="6" t="s">
        <v>212</v>
      </c>
    </row>
    <row r="95" ht="15.75" customHeight="1">
      <c r="A95" s="6" t="s">
        <v>278</v>
      </c>
      <c r="B95" s="21" t="s">
        <v>279</v>
      </c>
      <c r="C95" s="6" t="s">
        <v>194</v>
      </c>
      <c r="D95" s="6" t="s">
        <v>189</v>
      </c>
      <c r="E95" s="21" t="s">
        <v>190</v>
      </c>
      <c r="F95" s="21" t="s">
        <v>73</v>
      </c>
      <c r="G95" s="21" t="s">
        <v>73</v>
      </c>
      <c r="H95" s="34" t="s">
        <v>11</v>
      </c>
      <c r="I95" s="6" t="s">
        <v>212</v>
      </c>
    </row>
    <row r="96" ht="15.75" customHeight="1">
      <c r="A96" s="6" t="s">
        <v>280</v>
      </c>
      <c r="B96" s="21" t="s">
        <v>281</v>
      </c>
      <c r="C96" s="6" t="s">
        <v>188</v>
      </c>
      <c r="D96" s="6" t="s">
        <v>189</v>
      </c>
      <c r="E96" s="21" t="s">
        <v>190</v>
      </c>
      <c r="F96" s="21" t="s">
        <v>73</v>
      </c>
      <c r="G96" s="21" t="s">
        <v>73</v>
      </c>
      <c r="H96" s="34" t="s">
        <v>11</v>
      </c>
      <c r="I96" s="6" t="s">
        <v>212</v>
      </c>
    </row>
    <row r="97" ht="15.75" customHeight="1">
      <c r="A97" s="6" t="s">
        <v>282</v>
      </c>
      <c r="B97" s="21" t="s">
        <v>283</v>
      </c>
      <c r="C97" s="6" t="s">
        <v>188</v>
      </c>
      <c r="D97" s="6" t="s">
        <v>189</v>
      </c>
      <c r="E97" s="21" t="s">
        <v>190</v>
      </c>
      <c r="F97" s="21" t="s">
        <v>73</v>
      </c>
      <c r="G97" s="21" t="s">
        <v>73</v>
      </c>
      <c r="H97" s="34" t="s">
        <v>11</v>
      </c>
      <c r="I97" s="6" t="s">
        <v>212</v>
      </c>
    </row>
    <row r="98" ht="15.75" customHeight="1">
      <c r="A98" s="6" t="s">
        <v>284</v>
      </c>
      <c r="B98" s="21" t="s">
        <v>285</v>
      </c>
      <c r="C98" s="6" t="s">
        <v>286</v>
      </c>
      <c r="D98" s="6" t="s">
        <v>189</v>
      </c>
      <c r="E98" s="21" t="s">
        <v>190</v>
      </c>
      <c r="F98" s="21" t="s">
        <v>73</v>
      </c>
      <c r="G98" s="21" t="s">
        <v>73</v>
      </c>
      <c r="H98" s="34" t="s">
        <v>11</v>
      </c>
      <c r="I98" s="6" t="s">
        <v>212</v>
      </c>
    </row>
    <row r="99" ht="15.75" customHeight="1">
      <c r="A99" s="6" t="s">
        <v>287</v>
      </c>
      <c r="B99" s="21" t="s">
        <v>288</v>
      </c>
      <c r="C99" s="6" t="s">
        <v>215</v>
      </c>
      <c r="D99" s="6" t="s">
        <v>189</v>
      </c>
      <c r="E99" s="21" t="s">
        <v>190</v>
      </c>
      <c r="F99" s="21" t="s">
        <v>73</v>
      </c>
      <c r="G99" s="21" t="s">
        <v>73</v>
      </c>
      <c r="H99" s="34" t="s">
        <v>11</v>
      </c>
      <c r="I99" s="6" t="s">
        <v>212</v>
      </c>
    </row>
    <row r="100" ht="15.75" customHeight="1">
      <c r="A100" s="6" t="s">
        <v>289</v>
      </c>
      <c r="B100" s="21" t="s">
        <v>290</v>
      </c>
      <c r="C100" s="6" t="s">
        <v>291</v>
      </c>
      <c r="D100" s="6" t="s">
        <v>189</v>
      </c>
      <c r="E100" s="21" t="s">
        <v>73</v>
      </c>
      <c r="F100" s="21" t="s">
        <v>190</v>
      </c>
      <c r="G100" s="21" t="s">
        <v>73</v>
      </c>
      <c r="H100" s="35" t="s">
        <v>13</v>
      </c>
      <c r="I100" s="6" t="s">
        <v>292</v>
      </c>
    </row>
    <row r="101" ht="15.75" customHeight="1">
      <c r="A101" s="6" t="s">
        <v>293</v>
      </c>
      <c r="B101" s="21" t="s">
        <v>294</v>
      </c>
      <c r="C101" s="6" t="s">
        <v>291</v>
      </c>
      <c r="D101" s="6" t="s">
        <v>189</v>
      </c>
      <c r="E101" s="21" t="s">
        <v>73</v>
      </c>
      <c r="F101" s="21" t="s">
        <v>190</v>
      </c>
      <c r="G101" s="21" t="s">
        <v>73</v>
      </c>
      <c r="H101" s="35" t="s">
        <v>13</v>
      </c>
      <c r="I101" s="6" t="s">
        <v>295</v>
      </c>
    </row>
    <row r="102" ht="15.75" customHeight="1">
      <c r="A102" s="6" t="s">
        <v>296</v>
      </c>
      <c r="B102" s="21" t="s">
        <v>297</v>
      </c>
      <c r="C102" s="6" t="s">
        <v>291</v>
      </c>
      <c r="D102" s="6" t="s">
        <v>189</v>
      </c>
      <c r="E102" s="21" t="s">
        <v>73</v>
      </c>
      <c r="F102" s="21" t="s">
        <v>190</v>
      </c>
      <c r="G102" s="21" t="s">
        <v>73</v>
      </c>
      <c r="H102" s="35" t="s">
        <v>13</v>
      </c>
      <c r="I102" s="6" t="s">
        <v>295</v>
      </c>
    </row>
    <row r="103" ht="15.75" customHeight="1">
      <c r="A103" s="6" t="s">
        <v>298</v>
      </c>
      <c r="B103" s="21" t="s">
        <v>299</v>
      </c>
      <c r="C103" s="6" t="s">
        <v>291</v>
      </c>
      <c r="D103" s="6" t="s">
        <v>189</v>
      </c>
      <c r="E103" s="21" t="s">
        <v>73</v>
      </c>
      <c r="F103" s="21" t="s">
        <v>190</v>
      </c>
      <c r="G103" s="21" t="s">
        <v>73</v>
      </c>
      <c r="H103" s="35" t="s">
        <v>13</v>
      </c>
      <c r="I103" s="6" t="s">
        <v>295</v>
      </c>
    </row>
    <row r="104" ht="15.75" customHeight="1">
      <c r="A104" s="6" t="s">
        <v>300</v>
      </c>
      <c r="B104" s="21" t="s">
        <v>301</v>
      </c>
      <c r="C104" s="6" t="s">
        <v>194</v>
      </c>
      <c r="D104" s="6" t="s">
        <v>189</v>
      </c>
      <c r="E104" s="21" t="s">
        <v>73</v>
      </c>
      <c r="F104" s="21" t="s">
        <v>190</v>
      </c>
      <c r="G104" s="21" t="s">
        <v>73</v>
      </c>
      <c r="H104" s="35" t="s">
        <v>13</v>
      </c>
      <c r="I104" s="6" t="s">
        <v>295</v>
      </c>
    </row>
    <row r="105" ht="15.75" customHeight="1">
      <c r="A105" s="6" t="s">
        <v>302</v>
      </c>
      <c r="B105" s="21" t="s">
        <v>303</v>
      </c>
      <c r="C105" s="6" t="s">
        <v>304</v>
      </c>
      <c r="D105" s="6" t="s">
        <v>189</v>
      </c>
      <c r="E105" s="21" t="s">
        <v>73</v>
      </c>
      <c r="F105" s="21" t="s">
        <v>190</v>
      </c>
      <c r="G105" s="21" t="s">
        <v>73</v>
      </c>
      <c r="H105" s="35" t="s">
        <v>13</v>
      </c>
      <c r="I105" s="6" t="s">
        <v>305</v>
      </c>
    </row>
    <row r="106" ht="15.75" customHeight="1">
      <c r="A106" s="6" t="s">
        <v>306</v>
      </c>
      <c r="B106" s="21" t="s">
        <v>307</v>
      </c>
      <c r="C106" s="6" t="s">
        <v>197</v>
      </c>
      <c r="D106" s="6" t="s">
        <v>189</v>
      </c>
      <c r="E106" s="21" t="s">
        <v>73</v>
      </c>
      <c r="F106" s="21" t="s">
        <v>190</v>
      </c>
      <c r="G106" s="21" t="s">
        <v>73</v>
      </c>
      <c r="H106" s="35" t="s">
        <v>13</v>
      </c>
      <c r="I106" s="6" t="s">
        <v>295</v>
      </c>
    </row>
    <row r="107" ht="15.75" customHeight="1">
      <c r="A107" s="6" t="s">
        <v>308</v>
      </c>
      <c r="B107" s="21" t="s">
        <v>309</v>
      </c>
      <c r="C107" s="6" t="s">
        <v>291</v>
      </c>
      <c r="D107" s="6" t="s">
        <v>189</v>
      </c>
      <c r="E107" s="21" t="s">
        <v>73</v>
      </c>
      <c r="F107" s="21" t="s">
        <v>190</v>
      </c>
      <c r="G107" s="21" t="s">
        <v>73</v>
      </c>
      <c r="H107" s="35" t="s">
        <v>13</v>
      </c>
      <c r="I107" s="6" t="s">
        <v>292</v>
      </c>
    </row>
    <row r="108" ht="15.75" customHeight="1">
      <c r="A108" s="6" t="s">
        <v>310</v>
      </c>
      <c r="B108" s="21" t="s">
        <v>311</v>
      </c>
      <c r="C108" s="6" t="s">
        <v>197</v>
      </c>
      <c r="D108" s="6" t="s">
        <v>189</v>
      </c>
      <c r="E108" s="21" t="s">
        <v>73</v>
      </c>
      <c r="F108" s="21" t="s">
        <v>190</v>
      </c>
      <c r="G108" s="21" t="s">
        <v>73</v>
      </c>
      <c r="H108" s="35" t="s">
        <v>13</v>
      </c>
      <c r="I108" s="6" t="s">
        <v>295</v>
      </c>
    </row>
    <row r="109" ht="15.75" customHeight="1">
      <c r="A109" s="6" t="s">
        <v>312</v>
      </c>
      <c r="B109" s="21" t="s">
        <v>313</v>
      </c>
      <c r="C109" s="6" t="s">
        <v>207</v>
      </c>
      <c r="D109" s="6" t="s">
        <v>189</v>
      </c>
      <c r="E109" s="21" t="s">
        <v>73</v>
      </c>
      <c r="F109" s="21" t="s">
        <v>190</v>
      </c>
      <c r="G109" s="21" t="s">
        <v>73</v>
      </c>
      <c r="H109" s="35" t="s">
        <v>13</v>
      </c>
      <c r="I109" s="6" t="s">
        <v>292</v>
      </c>
    </row>
    <row r="110" ht="15.75" customHeight="1">
      <c r="A110" s="6" t="s">
        <v>314</v>
      </c>
      <c r="B110" s="21" t="s">
        <v>315</v>
      </c>
      <c r="C110" s="6" t="s">
        <v>200</v>
      </c>
      <c r="D110" s="6" t="s">
        <v>189</v>
      </c>
      <c r="E110" s="21" t="s">
        <v>73</v>
      </c>
      <c r="F110" s="21" t="s">
        <v>190</v>
      </c>
      <c r="G110" s="21" t="s">
        <v>73</v>
      </c>
      <c r="H110" s="35" t="s">
        <v>13</v>
      </c>
      <c r="I110" s="6" t="s">
        <v>295</v>
      </c>
    </row>
    <row r="111" ht="15.75" customHeight="1">
      <c r="A111" s="6" t="s">
        <v>316</v>
      </c>
      <c r="B111" s="21" t="s">
        <v>317</v>
      </c>
      <c r="C111" s="6" t="s">
        <v>291</v>
      </c>
      <c r="D111" s="6" t="s">
        <v>189</v>
      </c>
      <c r="E111" s="21" t="s">
        <v>73</v>
      </c>
      <c r="F111" s="21" t="s">
        <v>190</v>
      </c>
      <c r="G111" s="21" t="s">
        <v>73</v>
      </c>
      <c r="H111" s="35" t="s">
        <v>13</v>
      </c>
      <c r="I111" s="6" t="s">
        <v>292</v>
      </c>
    </row>
    <row r="112" ht="15.75" customHeight="1">
      <c r="A112" s="6" t="s">
        <v>318</v>
      </c>
      <c r="B112" s="21" t="s">
        <v>319</v>
      </c>
      <c r="C112" s="6" t="s">
        <v>291</v>
      </c>
      <c r="D112" s="6" t="s">
        <v>189</v>
      </c>
      <c r="E112" s="21" t="s">
        <v>73</v>
      </c>
      <c r="F112" s="21" t="s">
        <v>190</v>
      </c>
      <c r="G112" s="21" t="s">
        <v>73</v>
      </c>
      <c r="H112" s="35" t="s">
        <v>13</v>
      </c>
      <c r="I112" s="6" t="s">
        <v>295</v>
      </c>
    </row>
    <row r="113" ht="15.75" customHeight="1">
      <c r="A113" s="6" t="s">
        <v>320</v>
      </c>
      <c r="B113" s="21" t="s">
        <v>321</v>
      </c>
      <c r="C113" s="6" t="s">
        <v>291</v>
      </c>
      <c r="D113" s="6" t="s">
        <v>189</v>
      </c>
      <c r="E113" s="21" t="s">
        <v>73</v>
      </c>
      <c r="F113" s="21" t="s">
        <v>190</v>
      </c>
      <c r="G113" s="21" t="s">
        <v>73</v>
      </c>
      <c r="H113" s="35" t="s">
        <v>13</v>
      </c>
      <c r="I113" s="6" t="s">
        <v>295</v>
      </c>
    </row>
    <row r="114" ht="15.75" customHeight="1">
      <c r="A114" s="6" t="s">
        <v>322</v>
      </c>
      <c r="B114" s="21" t="s">
        <v>323</v>
      </c>
      <c r="C114" s="6" t="s">
        <v>211</v>
      </c>
      <c r="D114" s="6" t="s">
        <v>189</v>
      </c>
      <c r="E114" s="21" t="s">
        <v>73</v>
      </c>
      <c r="F114" s="21" t="s">
        <v>190</v>
      </c>
      <c r="G114" s="21" t="s">
        <v>73</v>
      </c>
      <c r="H114" s="35" t="s">
        <v>13</v>
      </c>
      <c r="I114" s="6" t="s">
        <v>295</v>
      </c>
    </row>
    <row r="115" ht="15.75" customHeight="1">
      <c r="A115" s="6" t="s">
        <v>324</v>
      </c>
      <c r="B115" s="21" t="s">
        <v>325</v>
      </c>
      <c r="C115" s="6" t="s">
        <v>207</v>
      </c>
      <c r="D115" s="6" t="s">
        <v>189</v>
      </c>
      <c r="E115" s="21" t="s">
        <v>73</v>
      </c>
      <c r="F115" s="21" t="s">
        <v>190</v>
      </c>
      <c r="G115" s="21" t="s">
        <v>73</v>
      </c>
      <c r="H115" s="35" t="s">
        <v>13</v>
      </c>
      <c r="I115" s="6" t="s">
        <v>292</v>
      </c>
    </row>
    <row r="116" ht="15.75" customHeight="1">
      <c r="A116" s="6" t="s">
        <v>326</v>
      </c>
      <c r="B116" s="21" t="s">
        <v>327</v>
      </c>
      <c r="C116" s="6" t="s">
        <v>215</v>
      </c>
      <c r="D116" s="6" t="s">
        <v>189</v>
      </c>
      <c r="E116" s="21" t="s">
        <v>73</v>
      </c>
      <c r="F116" s="21" t="s">
        <v>190</v>
      </c>
      <c r="G116" s="21" t="s">
        <v>73</v>
      </c>
      <c r="H116" s="35" t="s">
        <v>13</v>
      </c>
      <c r="I116" s="6" t="s">
        <v>295</v>
      </c>
    </row>
    <row r="117" ht="15.75" customHeight="1">
      <c r="A117" s="6" t="s">
        <v>328</v>
      </c>
      <c r="B117" s="21" t="s">
        <v>329</v>
      </c>
      <c r="C117" s="6" t="s">
        <v>207</v>
      </c>
      <c r="D117" s="6" t="s">
        <v>189</v>
      </c>
      <c r="E117" s="21" t="s">
        <v>73</v>
      </c>
      <c r="F117" s="21" t="s">
        <v>190</v>
      </c>
      <c r="G117" s="21" t="s">
        <v>73</v>
      </c>
      <c r="H117" s="35" t="s">
        <v>13</v>
      </c>
      <c r="I117" s="6" t="s">
        <v>292</v>
      </c>
    </row>
    <row r="118" ht="15.75" customHeight="1">
      <c r="A118" s="6" t="s">
        <v>330</v>
      </c>
      <c r="B118" s="21" t="s">
        <v>331</v>
      </c>
      <c r="C118" s="6" t="s">
        <v>304</v>
      </c>
      <c r="D118" s="6" t="s">
        <v>189</v>
      </c>
      <c r="E118" s="21" t="s">
        <v>73</v>
      </c>
      <c r="F118" s="21" t="s">
        <v>190</v>
      </c>
      <c r="G118" s="21" t="s">
        <v>73</v>
      </c>
      <c r="H118" s="35" t="s">
        <v>13</v>
      </c>
      <c r="I118" s="6" t="s">
        <v>305</v>
      </c>
    </row>
    <row r="119" ht="15.75" customHeight="1">
      <c r="A119" s="6" t="s">
        <v>332</v>
      </c>
      <c r="B119" s="21" t="s">
        <v>333</v>
      </c>
      <c r="C119" s="6" t="s">
        <v>207</v>
      </c>
      <c r="D119" s="6" t="s">
        <v>189</v>
      </c>
      <c r="E119" s="21" t="s">
        <v>73</v>
      </c>
      <c r="F119" s="21" t="s">
        <v>190</v>
      </c>
      <c r="G119" s="21" t="s">
        <v>73</v>
      </c>
      <c r="H119" s="35" t="s">
        <v>13</v>
      </c>
      <c r="I119" s="6" t="s">
        <v>292</v>
      </c>
    </row>
    <row r="120" ht="15.75" customHeight="1">
      <c r="A120" s="6" t="s">
        <v>334</v>
      </c>
      <c r="B120" s="21" t="s">
        <v>335</v>
      </c>
      <c r="C120" s="6" t="s">
        <v>200</v>
      </c>
      <c r="D120" s="6" t="s">
        <v>189</v>
      </c>
      <c r="E120" s="21" t="s">
        <v>73</v>
      </c>
      <c r="F120" s="21" t="s">
        <v>190</v>
      </c>
      <c r="G120" s="21" t="s">
        <v>73</v>
      </c>
      <c r="H120" s="35" t="s">
        <v>13</v>
      </c>
      <c r="I120" s="6" t="s">
        <v>295</v>
      </c>
    </row>
    <row r="121" ht="15.75" customHeight="1">
      <c r="A121" s="6" t="s">
        <v>336</v>
      </c>
      <c r="B121" s="21" t="s">
        <v>337</v>
      </c>
      <c r="C121" s="6" t="s">
        <v>291</v>
      </c>
      <c r="D121" s="6" t="s">
        <v>189</v>
      </c>
      <c r="E121" s="21" t="s">
        <v>73</v>
      </c>
      <c r="F121" s="21" t="s">
        <v>190</v>
      </c>
      <c r="G121" s="21" t="s">
        <v>73</v>
      </c>
      <c r="H121" s="35" t="s">
        <v>13</v>
      </c>
      <c r="I121" s="6" t="s">
        <v>292</v>
      </c>
    </row>
    <row r="122" ht="15.75" customHeight="1">
      <c r="A122" s="6" t="s">
        <v>338</v>
      </c>
      <c r="B122" s="21" t="s">
        <v>339</v>
      </c>
      <c r="C122" s="6" t="s">
        <v>291</v>
      </c>
      <c r="D122" s="6" t="s">
        <v>189</v>
      </c>
      <c r="E122" s="21" t="s">
        <v>73</v>
      </c>
      <c r="F122" s="21" t="s">
        <v>190</v>
      </c>
      <c r="G122" s="21" t="s">
        <v>73</v>
      </c>
      <c r="H122" s="35" t="s">
        <v>13</v>
      </c>
      <c r="I122" s="6" t="s">
        <v>292</v>
      </c>
    </row>
    <row r="123" ht="15.75" customHeight="1">
      <c r="A123" s="6" t="s">
        <v>340</v>
      </c>
      <c r="B123" s="21" t="s">
        <v>341</v>
      </c>
      <c r="C123" s="6" t="s">
        <v>291</v>
      </c>
      <c r="D123" s="6" t="s">
        <v>189</v>
      </c>
      <c r="E123" s="21" t="s">
        <v>73</v>
      </c>
      <c r="F123" s="21" t="s">
        <v>190</v>
      </c>
      <c r="G123" s="21" t="s">
        <v>73</v>
      </c>
      <c r="H123" s="35" t="s">
        <v>13</v>
      </c>
      <c r="I123" s="6" t="s">
        <v>292</v>
      </c>
    </row>
    <row r="124" ht="15.75" customHeight="1">
      <c r="A124" s="6" t="s">
        <v>342</v>
      </c>
      <c r="B124" s="21" t="s">
        <v>343</v>
      </c>
      <c r="C124" s="6" t="s">
        <v>200</v>
      </c>
      <c r="D124" s="6" t="s">
        <v>189</v>
      </c>
      <c r="E124" s="21" t="s">
        <v>73</v>
      </c>
      <c r="F124" s="21" t="s">
        <v>190</v>
      </c>
      <c r="G124" s="21" t="s">
        <v>73</v>
      </c>
      <c r="H124" s="35" t="s">
        <v>13</v>
      </c>
      <c r="I124" s="6" t="s">
        <v>295</v>
      </c>
    </row>
    <row r="125" ht="15.75" customHeight="1">
      <c r="A125" s="6" t="s">
        <v>344</v>
      </c>
      <c r="B125" s="21" t="s">
        <v>345</v>
      </c>
      <c r="C125" s="6" t="s">
        <v>228</v>
      </c>
      <c r="D125" s="6" t="s">
        <v>189</v>
      </c>
      <c r="E125" s="21" t="s">
        <v>73</v>
      </c>
      <c r="F125" s="21" t="s">
        <v>190</v>
      </c>
      <c r="G125" s="21" t="s">
        <v>73</v>
      </c>
      <c r="H125" s="35" t="s">
        <v>13</v>
      </c>
      <c r="I125" s="6" t="s">
        <v>295</v>
      </c>
    </row>
    <row r="126" ht="15.75" customHeight="1">
      <c r="A126" s="6" t="s">
        <v>346</v>
      </c>
      <c r="B126" s="21" t="s">
        <v>347</v>
      </c>
      <c r="C126" s="6" t="s">
        <v>348</v>
      </c>
      <c r="D126" s="6" t="s">
        <v>189</v>
      </c>
      <c r="E126" s="21" t="s">
        <v>73</v>
      </c>
      <c r="F126" s="21" t="s">
        <v>190</v>
      </c>
      <c r="G126" s="21" t="s">
        <v>73</v>
      </c>
      <c r="H126" s="35" t="s">
        <v>13</v>
      </c>
      <c r="I126" s="6" t="s">
        <v>292</v>
      </c>
    </row>
    <row r="127" ht="15.75" customHeight="1">
      <c r="A127" s="6" t="s">
        <v>349</v>
      </c>
      <c r="B127" s="21" t="s">
        <v>350</v>
      </c>
      <c r="C127" s="6" t="s">
        <v>200</v>
      </c>
      <c r="D127" s="6" t="s">
        <v>189</v>
      </c>
      <c r="E127" s="21" t="s">
        <v>73</v>
      </c>
      <c r="F127" s="21" t="s">
        <v>190</v>
      </c>
      <c r="G127" s="21" t="s">
        <v>73</v>
      </c>
      <c r="H127" s="35" t="s">
        <v>13</v>
      </c>
      <c r="I127" s="6" t="s">
        <v>295</v>
      </c>
    </row>
    <row r="128" ht="15.75" customHeight="1">
      <c r="A128" s="6" t="s">
        <v>351</v>
      </c>
      <c r="B128" s="21" t="s">
        <v>352</v>
      </c>
      <c r="C128" s="6" t="s">
        <v>291</v>
      </c>
      <c r="D128" s="6" t="s">
        <v>189</v>
      </c>
      <c r="E128" s="21" t="s">
        <v>73</v>
      </c>
      <c r="F128" s="21" t="s">
        <v>190</v>
      </c>
      <c r="G128" s="21" t="s">
        <v>73</v>
      </c>
      <c r="H128" s="35" t="s">
        <v>13</v>
      </c>
      <c r="I128" s="6" t="s">
        <v>295</v>
      </c>
    </row>
    <row r="129" ht="15.75" customHeight="1">
      <c r="A129" s="6" t="s">
        <v>353</v>
      </c>
      <c r="B129" s="21" t="s">
        <v>354</v>
      </c>
      <c r="C129" s="6" t="s">
        <v>207</v>
      </c>
      <c r="D129" s="6" t="s">
        <v>189</v>
      </c>
      <c r="E129" s="21" t="s">
        <v>73</v>
      </c>
      <c r="F129" s="21" t="s">
        <v>190</v>
      </c>
      <c r="G129" s="21" t="s">
        <v>73</v>
      </c>
      <c r="H129" s="35" t="s">
        <v>13</v>
      </c>
      <c r="I129" s="6" t="s">
        <v>292</v>
      </c>
    </row>
    <row r="130" ht="15.75" customHeight="1">
      <c r="A130" s="6" t="s">
        <v>355</v>
      </c>
      <c r="B130" s="21" t="s">
        <v>356</v>
      </c>
      <c r="C130" s="6" t="s">
        <v>291</v>
      </c>
      <c r="D130" s="6" t="s">
        <v>189</v>
      </c>
      <c r="E130" s="21" t="s">
        <v>73</v>
      </c>
      <c r="F130" s="21" t="s">
        <v>190</v>
      </c>
      <c r="G130" s="21" t="s">
        <v>73</v>
      </c>
      <c r="H130" s="35" t="s">
        <v>13</v>
      </c>
      <c r="I130" s="6" t="s">
        <v>295</v>
      </c>
    </row>
    <row r="131" ht="15.75" customHeight="1">
      <c r="A131" s="6" t="s">
        <v>357</v>
      </c>
      <c r="B131" s="21" t="s">
        <v>358</v>
      </c>
      <c r="C131" s="6" t="s">
        <v>200</v>
      </c>
      <c r="D131" s="6" t="s">
        <v>189</v>
      </c>
      <c r="E131" s="21" t="s">
        <v>73</v>
      </c>
      <c r="F131" s="21" t="s">
        <v>190</v>
      </c>
      <c r="G131" s="21" t="s">
        <v>73</v>
      </c>
      <c r="H131" s="35" t="s">
        <v>13</v>
      </c>
      <c r="I131" s="6" t="s">
        <v>295</v>
      </c>
    </row>
    <row r="132" ht="15.75" customHeight="1">
      <c r="A132" s="6" t="s">
        <v>359</v>
      </c>
      <c r="B132" s="21" t="s">
        <v>360</v>
      </c>
      <c r="C132" s="6" t="s">
        <v>257</v>
      </c>
      <c r="D132" s="6" t="s">
        <v>189</v>
      </c>
      <c r="E132" s="21" t="s">
        <v>73</v>
      </c>
      <c r="F132" s="21" t="s">
        <v>73</v>
      </c>
      <c r="G132" s="21" t="s">
        <v>73</v>
      </c>
      <c r="H132" s="36" t="s">
        <v>9</v>
      </c>
      <c r="I132" s="6" t="s">
        <v>361</v>
      </c>
    </row>
    <row r="133" ht="15.75" customHeight="1">
      <c r="A133" s="6" t="s">
        <v>362</v>
      </c>
      <c r="B133" s="21" t="s">
        <v>363</v>
      </c>
      <c r="C133" s="6" t="s">
        <v>364</v>
      </c>
      <c r="D133" s="6" t="s">
        <v>189</v>
      </c>
      <c r="E133" s="21" t="s">
        <v>73</v>
      </c>
      <c r="F133" s="21" t="s">
        <v>73</v>
      </c>
      <c r="G133" s="21" t="s">
        <v>73</v>
      </c>
      <c r="H133" s="36" t="s">
        <v>9</v>
      </c>
      <c r="I133" s="6" t="s">
        <v>365</v>
      </c>
    </row>
    <row r="134" ht="15.75" customHeight="1">
      <c r="A134" s="6" t="s">
        <v>366</v>
      </c>
      <c r="B134" s="21" t="s">
        <v>367</v>
      </c>
      <c r="C134" s="6" t="s">
        <v>368</v>
      </c>
      <c r="D134" s="6" t="s">
        <v>189</v>
      </c>
      <c r="E134" s="21" t="s">
        <v>73</v>
      </c>
      <c r="F134" s="21" t="s">
        <v>73</v>
      </c>
      <c r="G134" s="21" t="s">
        <v>73</v>
      </c>
      <c r="H134" s="36" t="s">
        <v>9</v>
      </c>
      <c r="I134" s="6" t="s">
        <v>361</v>
      </c>
    </row>
    <row r="135" ht="15.75" customHeight="1">
      <c r="A135" s="6" t="s">
        <v>369</v>
      </c>
      <c r="B135" s="21" t="s">
        <v>370</v>
      </c>
      <c r="C135" s="6" t="s">
        <v>286</v>
      </c>
      <c r="D135" s="6" t="s">
        <v>189</v>
      </c>
      <c r="E135" s="21" t="s">
        <v>73</v>
      </c>
      <c r="F135" s="21" t="s">
        <v>73</v>
      </c>
      <c r="G135" s="21" t="s">
        <v>73</v>
      </c>
      <c r="H135" s="36" t="s">
        <v>9</v>
      </c>
      <c r="I135" s="6" t="s">
        <v>361</v>
      </c>
    </row>
    <row r="136" ht="15.75" customHeight="1">
      <c r="A136" s="6" t="s">
        <v>371</v>
      </c>
      <c r="B136" s="21" t="s">
        <v>372</v>
      </c>
      <c r="C136" s="6" t="s">
        <v>211</v>
      </c>
      <c r="D136" s="6" t="s">
        <v>189</v>
      </c>
      <c r="E136" s="21" t="s">
        <v>73</v>
      </c>
      <c r="F136" s="21" t="s">
        <v>73</v>
      </c>
      <c r="G136" s="21" t="s">
        <v>73</v>
      </c>
      <c r="H136" s="36" t="s">
        <v>9</v>
      </c>
      <c r="I136" s="6" t="s">
        <v>361</v>
      </c>
    </row>
    <row r="137" ht="15.75" customHeight="1">
      <c r="A137" s="6" t="s">
        <v>373</v>
      </c>
      <c r="B137" s="21" t="s">
        <v>374</v>
      </c>
      <c r="C137" s="6" t="s">
        <v>368</v>
      </c>
      <c r="D137" s="6" t="s">
        <v>189</v>
      </c>
      <c r="E137" s="21" t="s">
        <v>73</v>
      </c>
      <c r="F137" s="21" t="s">
        <v>73</v>
      </c>
      <c r="G137" s="21" t="s">
        <v>73</v>
      </c>
      <c r="H137" s="36" t="s">
        <v>9</v>
      </c>
      <c r="I137" s="6" t="s">
        <v>361</v>
      </c>
    </row>
    <row r="138" ht="15.75" customHeight="1">
      <c r="A138" s="6" t="s">
        <v>375</v>
      </c>
      <c r="B138" s="21" t="s">
        <v>376</v>
      </c>
      <c r="C138" s="6" t="s">
        <v>215</v>
      </c>
      <c r="D138" s="6" t="s">
        <v>189</v>
      </c>
      <c r="E138" s="21" t="s">
        <v>73</v>
      </c>
      <c r="F138" s="21" t="s">
        <v>73</v>
      </c>
      <c r="G138" s="21" t="s">
        <v>73</v>
      </c>
      <c r="H138" s="36" t="s">
        <v>9</v>
      </c>
      <c r="I138" s="6" t="s">
        <v>361</v>
      </c>
    </row>
    <row r="139" ht="15.75" customHeight="1">
      <c r="A139" s="6" t="s">
        <v>377</v>
      </c>
      <c r="B139" s="21" t="s">
        <v>378</v>
      </c>
      <c r="C139" s="6" t="s">
        <v>368</v>
      </c>
      <c r="D139" s="6" t="s">
        <v>189</v>
      </c>
      <c r="E139" s="21" t="s">
        <v>73</v>
      </c>
      <c r="F139" s="21" t="s">
        <v>73</v>
      </c>
      <c r="G139" s="21" t="s">
        <v>73</v>
      </c>
      <c r="H139" s="36" t="s">
        <v>9</v>
      </c>
      <c r="I139" s="6" t="s">
        <v>361</v>
      </c>
    </row>
    <row r="140" ht="15.75" customHeight="1">
      <c r="A140" s="6" t="s">
        <v>379</v>
      </c>
      <c r="B140" s="21" t="s">
        <v>380</v>
      </c>
      <c r="C140" s="6" t="s">
        <v>200</v>
      </c>
      <c r="D140" s="6" t="s">
        <v>189</v>
      </c>
      <c r="E140" s="21" t="s">
        <v>73</v>
      </c>
      <c r="F140" s="21" t="s">
        <v>73</v>
      </c>
      <c r="G140" s="21" t="s">
        <v>73</v>
      </c>
      <c r="H140" s="36" t="s">
        <v>9</v>
      </c>
      <c r="I140" s="6" t="s">
        <v>361</v>
      </c>
    </row>
    <row r="141" ht="15.75" customHeight="1">
      <c r="A141" s="6" t="s">
        <v>381</v>
      </c>
      <c r="B141" s="21" t="s">
        <v>382</v>
      </c>
      <c r="C141" s="6" t="s">
        <v>228</v>
      </c>
      <c r="D141" s="6" t="s">
        <v>189</v>
      </c>
      <c r="E141" s="21" t="s">
        <v>73</v>
      </c>
      <c r="F141" s="21" t="s">
        <v>73</v>
      </c>
      <c r="G141" s="21" t="s">
        <v>73</v>
      </c>
      <c r="H141" s="36" t="s">
        <v>9</v>
      </c>
      <c r="I141" s="6" t="s">
        <v>361</v>
      </c>
    </row>
    <row r="142" ht="15.75" customHeight="1">
      <c r="A142" s="6" t="s">
        <v>383</v>
      </c>
      <c r="B142" s="21" t="s">
        <v>384</v>
      </c>
      <c r="C142" s="6" t="s">
        <v>368</v>
      </c>
      <c r="D142" s="6" t="s">
        <v>189</v>
      </c>
      <c r="E142" s="21" t="s">
        <v>73</v>
      </c>
      <c r="F142" s="21" t="s">
        <v>73</v>
      </c>
      <c r="G142" s="21" t="s">
        <v>73</v>
      </c>
      <c r="H142" s="36" t="s">
        <v>9</v>
      </c>
      <c r="I142" s="6" t="s">
        <v>361</v>
      </c>
    </row>
    <row r="143" ht="15.75" customHeight="1">
      <c r="A143" s="6" t="s">
        <v>385</v>
      </c>
      <c r="B143" s="21" t="s">
        <v>386</v>
      </c>
      <c r="C143" s="6" t="s">
        <v>200</v>
      </c>
      <c r="D143" s="6" t="s">
        <v>189</v>
      </c>
      <c r="E143" s="21" t="s">
        <v>73</v>
      </c>
      <c r="F143" s="21" t="s">
        <v>73</v>
      </c>
      <c r="G143" s="21" t="s">
        <v>73</v>
      </c>
      <c r="H143" s="36" t="s">
        <v>9</v>
      </c>
      <c r="I143" s="6" t="s">
        <v>361</v>
      </c>
    </row>
    <row r="144" ht="15.75" customHeight="1">
      <c r="A144" s="6" t="s">
        <v>387</v>
      </c>
      <c r="B144" s="21" t="s">
        <v>388</v>
      </c>
      <c r="C144" s="6" t="s">
        <v>368</v>
      </c>
      <c r="D144" s="6" t="s">
        <v>189</v>
      </c>
      <c r="E144" s="21" t="s">
        <v>73</v>
      </c>
      <c r="F144" s="21" t="s">
        <v>73</v>
      </c>
      <c r="G144" s="21" t="s">
        <v>73</v>
      </c>
      <c r="H144" s="36" t="s">
        <v>9</v>
      </c>
      <c r="I144" s="6" t="s">
        <v>361</v>
      </c>
    </row>
    <row r="145" ht="15.75" customHeight="1">
      <c r="A145" s="6" t="s">
        <v>389</v>
      </c>
      <c r="B145" s="21" t="s">
        <v>390</v>
      </c>
      <c r="C145" s="6" t="s">
        <v>228</v>
      </c>
      <c r="D145" s="6" t="s">
        <v>189</v>
      </c>
      <c r="E145" s="21" t="s">
        <v>73</v>
      </c>
      <c r="F145" s="21" t="s">
        <v>73</v>
      </c>
      <c r="G145" s="21" t="s">
        <v>73</v>
      </c>
      <c r="H145" s="36" t="s">
        <v>9</v>
      </c>
      <c r="I145" s="6" t="s">
        <v>361</v>
      </c>
    </row>
    <row r="146" ht="15.75" customHeight="1">
      <c r="A146" s="6" t="s">
        <v>391</v>
      </c>
      <c r="B146" s="21" t="s">
        <v>392</v>
      </c>
      <c r="C146" s="6" t="s">
        <v>197</v>
      </c>
      <c r="D146" s="6" t="s">
        <v>189</v>
      </c>
      <c r="E146" s="21" t="s">
        <v>73</v>
      </c>
      <c r="F146" s="21" t="s">
        <v>73</v>
      </c>
      <c r="G146" s="21" t="s">
        <v>73</v>
      </c>
      <c r="H146" s="36" t="s">
        <v>9</v>
      </c>
      <c r="I146" s="6" t="s">
        <v>361</v>
      </c>
    </row>
    <row r="147" ht="15.75" customHeight="1">
      <c r="A147" s="6" t="s">
        <v>393</v>
      </c>
      <c r="B147" s="21" t="s">
        <v>394</v>
      </c>
      <c r="C147" s="6" t="s">
        <v>194</v>
      </c>
      <c r="D147" s="6" t="s">
        <v>189</v>
      </c>
      <c r="E147" s="21" t="s">
        <v>73</v>
      </c>
      <c r="F147" s="21" t="s">
        <v>73</v>
      </c>
      <c r="G147" s="21" t="s">
        <v>73</v>
      </c>
      <c r="H147" s="36" t="s">
        <v>9</v>
      </c>
      <c r="I147" s="6" t="s">
        <v>361</v>
      </c>
    </row>
    <row r="148" ht="15.75" customHeight="1">
      <c r="A148" s="6" t="s">
        <v>395</v>
      </c>
      <c r="B148" s="21" t="s">
        <v>396</v>
      </c>
      <c r="C148" s="6" t="s">
        <v>200</v>
      </c>
      <c r="D148" s="6" t="s">
        <v>189</v>
      </c>
      <c r="E148" s="21" t="s">
        <v>73</v>
      </c>
      <c r="F148" s="21" t="s">
        <v>73</v>
      </c>
      <c r="G148" s="21" t="s">
        <v>73</v>
      </c>
      <c r="H148" s="36" t="s">
        <v>9</v>
      </c>
      <c r="I148" s="6" t="s">
        <v>361</v>
      </c>
    </row>
    <row r="149" ht="15.75" customHeight="1">
      <c r="A149" s="6" t="s">
        <v>397</v>
      </c>
      <c r="B149" s="21" t="s">
        <v>398</v>
      </c>
      <c r="C149" s="6" t="s">
        <v>368</v>
      </c>
      <c r="D149" s="6" t="s">
        <v>189</v>
      </c>
      <c r="E149" s="21" t="s">
        <v>73</v>
      </c>
      <c r="F149" s="21" t="s">
        <v>73</v>
      </c>
      <c r="G149" s="21" t="s">
        <v>73</v>
      </c>
      <c r="H149" s="36" t="s">
        <v>9</v>
      </c>
      <c r="I149" s="6" t="s">
        <v>361</v>
      </c>
    </row>
    <row r="150" ht="15.75" customHeight="1">
      <c r="A150" s="6" t="s">
        <v>399</v>
      </c>
      <c r="B150" s="21" t="s">
        <v>400</v>
      </c>
      <c r="C150" s="6" t="s">
        <v>257</v>
      </c>
      <c r="D150" s="6" t="s">
        <v>189</v>
      </c>
      <c r="E150" s="21" t="s">
        <v>73</v>
      </c>
      <c r="F150" s="21" t="s">
        <v>73</v>
      </c>
      <c r="G150" s="21" t="s">
        <v>73</v>
      </c>
      <c r="H150" s="36" t="s">
        <v>9</v>
      </c>
      <c r="I150" s="6" t="s">
        <v>361</v>
      </c>
    </row>
    <row r="151" ht="15.75" customHeight="1">
      <c r="A151" s="6" t="s">
        <v>401</v>
      </c>
      <c r="B151" s="21" t="s">
        <v>402</v>
      </c>
      <c r="C151" s="6" t="s">
        <v>197</v>
      </c>
      <c r="D151" s="6" t="s">
        <v>189</v>
      </c>
      <c r="E151" s="21" t="s">
        <v>73</v>
      </c>
      <c r="F151" s="21" t="s">
        <v>73</v>
      </c>
      <c r="G151" s="21" t="s">
        <v>73</v>
      </c>
      <c r="H151" s="36" t="s">
        <v>9</v>
      </c>
      <c r="I151" s="6" t="s">
        <v>361</v>
      </c>
    </row>
    <row r="152" ht="15.75" customHeight="1">
      <c r="A152" s="6" t="s">
        <v>403</v>
      </c>
      <c r="B152" s="21" t="s">
        <v>404</v>
      </c>
      <c r="C152" s="6" t="s">
        <v>228</v>
      </c>
      <c r="D152" s="6" t="s">
        <v>189</v>
      </c>
      <c r="E152" s="21" t="s">
        <v>73</v>
      </c>
      <c r="F152" s="21" t="s">
        <v>73</v>
      </c>
      <c r="G152" s="21" t="s">
        <v>73</v>
      </c>
      <c r="H152" s="36" t="s">
        <v>9</v>
      </c>
      <c r="I152" s="6" t="s">
        <v>361</v>
      </c>
    </row>
    <row r="153" ht="15.75" customHeight="1">
      <c r="A153" s="6" t="s">
        <v>405</v>
      </c>
      <c r="B153" s="21" t="s">
        <v>406</v>
      </c>
      <c r="C153" s="6" t="s">
        <v>215</v>
      </c>
      <c r="D153" s="6" t="s">
        <v>189</v>
      </c>
      <c r="E153" s="21" t="s">
        <v>73</v>
      </c>
      <c r="F153" s="21" t="s">
        <v>73</v>
      </c>
      <c r="G153" s="21" t="s">
        <v>73</v>
      </c>
      <c r="H153" s="36" t="s">
        <v>9</v>
      </c>
      <c r="I153" s="6" t="s">
        <v>361</v>
      </c>
    </row>
    <row r="154" ht="15.75" customHeight="1">
      <c r="A154" s="6" t="s">
        <v>407</v>
      </c>
      <c r="B154" s="21" t="s">
        <v>408</v>
      </c>
      <c r="C154" s="6" t="s">
        <v>228</v>
      </c>
      <c r="D154" s="6" t="s">
        <v>189</v>
      </c>
      <c r="E154" s="21" t="s">
        <v>73</v>
      </c>
      <c r="F154" s="21" t="s">
        <v>73</v>
      </c>
      <c r="G154" s="21" t="s">
        <v>73</v>
      </c>
      <c r="H154" s="36" t="s">
        <v>9</v>
      </c>
      <c r="I154" s="6" t="s">
        <v>361</v>
      </c>
    </row>
    <row r="155" ht="15.75" customHeight="1">
      <c r="A155" s="6" t="s">
        <v>409</v>
      </c>
      <c r="B155" s="21" t="s">
        <v>410</v>
      </c>
      <c r="C155" s="6" t="s">
        <v>194</v>
      </c>
      <c r="D155" s="6" t="s">
        <v>189</v>
      </c>
      <c r="E155" s="21" t="s">
        <v>73</v>
      </c>
      <c r="F155" s="21" t="s">
        <v>73</v>
      </c>
      <c r="G155" s="21" t="s">
        <v>73</v>
      </c>
      <c r="H155" s="36" t="s">
        <v>9</v>
      </c>
      <c r="I155" s="6" t="s">
        <v>361</v>
      </c>
    </row>
    <row r="156" ht="15.75" customHeight="1">
      <c r="A156" s="6" t="s">
        <v>411</v>
      </c>
      <c r="B156" s="21" t="s">
        <v>412</v>
      </c>
      <c r="C156" s="6" t="s">
        <v>197</v>
      </c>
      <c r="D156" s="6" t="s">
        <v>189</v>
      </c>
      <c r="E156" s="21" t="s">
        <v>73</v>
      </c>
      <c r="F156" s="21" t="s">
        <v>73</v>
      </c>
      <c r="G156" s="21" t="s">
        <v>73</v>
      </c>
      <c r="H156" s="36" t="s">
        <v>9</v>
      </c>
      <c r="I156" s="6" t="s">
        <v>361</v>
      </c>
    </row>
    <row r="157" ht="15.75" customHeight="1">
      <c r="A157" s="6" t="s">
        <v>413</v>
      </c>
      <c r="B157" s="21" t="s">
        <v>414</v>
      </c>
      <c r="C157" s="6" t="s">
        <v>197</v>
      </c>
      <c r="D157" s="6" t="s">
        <v>189</v>
      </c>
      <c r="E157" s="21" t="s">
        <v>73</v>
      </c>
      <c r="F157" s="21" t="s">
        <v>73</v>
      </c>
      <c r="G157" s="21" t="s">
        <v>73</v>
      </c>
      <c r="H157" s="36" t="s">
        <v>9</v>
      </c>
      <c r="I157" s="6" t="s">
        <v>361</v>
      </c>
    </row>
    <row r="158" ht="15.75" customHeight="1">
      <c r="A158" s="6" t="s">
        <v>415</v>
      </c>
      <c r="B158" s="21" t="s">
        <v>416</v>
      </c>
      <c r="C158" s="6" t="s">
        <v>200</v>
      </c>
      <c r="D158" s="6" t="s">
        <v>189</v>
      </c>
      <c r="E158" s="21" t="s">
        <v>73</v>
      </c>
      <c r="F158" s="21" t="s">
        <v>73</v>
      </c>
      <c r="G158" s="21" t="s">
        <v>73</v>
      </c>
      <c r="H158" s="36" t="s">
        <v>9</v>
      </c>
      <c r="I158" s="6" t="s">
        <v>417</v>
      </c>
    </row>
    <row r="159" ht="15.75" customHeight="1">
      <c r="A159" s="6" t="s">
        <v>418</v>
      </c>
      <c r="B159" s="21" t="s">
        <v>419</v>
      </c>
      <c r="C159" s="6" t="s">
        <v>211</v>
      </c>
      <c r="D159" s="6" t="s">
        <v>189</v>
      </c>
      <c r="E159" s="21" t="s">
        <v>73</v>
      </c>
      <c r="F159" s="21" t="s">
        <v>73</v>
      </c>
      <c r="G159" s="21" t="s">
        <v>73</v>
      </c>
      <c r="H159" s="36" t="s">
        <v>9</v>
      </c>
      <c r="I159" s="6" t="s">
        <v>361</v>
      </c>
    </row>
    <row r="160" ht="15.75" customHeight="1">
      <c r="A160" s="6" t="s">
        <v>420</v>
      </c>
      <c r="B160" s="21" t="s">
        <v>421</v>
      </c>
      <c r="C160" s="6" t="s">
        <v>200</v>
      </c>
      <c r="D160" s="6" t="s">
        <v>189</v>
      </c>
      <c r="E160" s="21" t="s">
        <v>73</v>
      </c>
      <c r="F160" s="21" t="s">
        <v>73</v>
      </c>
      <c r="G160" s="21" t="s">
        <v>73</v>
      </c>
      <c r="H160" s="36" t="s">
        <v>9</v>
      </c>
      <c r="I160" s="6" t="s">
        <v>361</v>
      </c>
    </row>
    <row r="161" ht="15.75" customHeight="1">
      <c r="A161" s="6" t="s">
        <v>422</v>
      </c>
      <c r="B161" s="21" t="s">
        <v>423</v>
      </c>
      <c r="C161" s="6" t="s">
        <v>211</v>
      </c>
      <c r="D161" s="6" t="s">
        <v>189</v>
      </c>
      <c r="E161" s="21" t="s">
        <v>73</v>
      </c>
      <c r="F161" s="21" t="s">
        <v>73</v>
      </c>
      <c r="G161" s="21" t="s">
        <v>73</v>
      </c>
      <c r="H161" s="36" t="s">
        <v>9</v>
      </c>
      <c r="I161" s="6" t="s">
        <v>361</v>
      </c>
    </row>
    <row r="162" ht="15.75" customHeight="1">
      <c r="A162" s="6" t="s">
        <v>424</v>
      </c>
      <c r="B162" s="21" t="s">
        <v>425</v>
      </c>
      <c r="C162" s="6" t="s">
        <v>286</v>
      </c>
      <c r="D162" s="6" t="s">
        <v>189</v>
      </c>
      <c r="E162" s="21" t="s">
        <v>73</v>
      </c>
      <c r="F162" s="21" t="s">
        <v>73</v>
      </c>
      <c r="G162" s="21" t="s">
        <v>73</v>
      </c>
      <c r="H162" s="36" t="s">
        <v>9</v>
      </c>
      <c r="I162" s="6" t="s">
        <v>361</v>
      </c>
    </row>
    <row r="163" ht="15.75" customHeight="1">
      <c r="A163" s="6" t="s">
        <v>426</v>
      </c>
      <c r="B163" s="21" t="s">
        <v>427</v>
      </c>
      <c r="C163" s="6" t="s">
        <v>286</v>
      </c>
      <c r="D163" s="6" t="s">
        <v>189</v>
      </c>
      <c r="E163" s="21" t="s">
        <v>73</v>
      </c>
      <c r="F163" s="21" t="s">
        <v>73</v>
      </c>
      <c r="G163" s="21" t="s">
        <v>73</v>
      </c>
      <c r="H163" s="36" t="s">
        <v>9</v>
      </c>
      <c r="I163" s="6" t="s">
        <v>361</v>
      </c>
    </row>
    <row r="164" ht="15.75" customHeight="1">
      <c r="A164" s="6" t="s">
        <v>428</v>
      </c>
      <c r="B164" s="21" t="s">
        <v>429</v>
      </c>
      <c r="C164" s="6" t="s">
        <v>286</v>
      </c>
      <c r="D164" s="6" t="s">
        <v>189</v>
      </c>
      <c r="E164" s="21" t="s">
        <v>73</v>
      </c>
      <c r="F164" s="21" t="s">
        <v>73</v>
      </c>
      <c r="G164" s="21" t="s">
        <v>73</v>
      </c>
      <c r="H164" s="36" t="s">
        <v>9</v>
      </c>
      <c r="I164" s="6" t="s">
        <v>361</v>
      </c>
    </row>
    <row r="165" ht="15.75" customHeight="1">
      <c r="A165" s="6" t="s">
        <v>430</v>
      </c>
      <c r="B165" s="21" t="s">
        <v>431</v>
      </c>
      <c r="C165" s="6" t="s">
        <v>188</v>
      </c>
      <c r="D165" s="6" t="s">
        <v>189</v>
      </c>
      <c r="E165" s="21" t="s">
        <v>73</v>
      </c>
      <c r="F165" s="21" t="s">
        <v>73</v>
      </c>
      <c r="G165" s="21" t="s">
        <v>73</v>
      </c>
      <c r="H165" s="36" t="s">
        <v>9</v>
      </c>
      <c r="I165" s="6" t="s">
        <v>361</v>
      </c>
    </row>
    <row r="166" ht="15.75" customHeight="1">
      <c r="A166" s="6" t="s">
        <v>432</v>
      </c>
      <c r="B166" s="21" t="s">
        <v>433</v>
      </c>
      <c r="C166" s="6" t="s">
        <v>286</v>
      </c>
      <c r="D166" s="6" t="s">
        <v>189</v>
      </c>
      <c r="E166" s="21" t="s">
        <v>73</v>
      </c>
      <c r="F166" s="21" t="s">
        <v>73</v>
      </c>
      <c r="G166" s="21" t="s">
        <v>73</v>
      </c>
      <c r="H166" s="36" t="s">
        <v>9</v>
      </c>
      <c r="I166" s="6" t="s">
        <v>361</v>
      </c>
    </row>
    <row r="167" ht="15.75" customHeight="1">
      <c r="A167" s="6" t="s">
        <v>434</v>
      </c>
      <c r="B167" s="21" t="s">
        <v>435</v>
      </c>
      <c r="C167" s="6" t="s">
        <v>286</v>
      </c>
      <c r="D167" s="6" t="s">
        <v>189</v>
      </c>
      <c r="E167" s="21" t="s">
        <v>73</v>
      </c>
      <c r="F167" s="21" t="s">
        <v>73</v>
      </c>
      <c r="G167" s="21" t="s">
        <v>73</v>
      </c>
      <c r="H167" s="36" t="s">
        <v>9</v>
      </c>
      <c r="I167" s="6" t="s">
        <v>361</v>
      </c>
    </row>
    <row r="168" ht="15.75" customHeight="1">
      <c r="A168" s="6" t="s">
        <v>436</v>
      </c>
      <c r="B168" s="21" t="s">
        <v>437</v>
      </c>
      <c r="C168" s="6" t="s">
        <v>257</v>
      </c>
      <c r="D168" s="6" t="s">
        <v>189</v>
      </c>
      <c r="E168" s="21" t="s">
        <v>73</v>
      </c>
      <c r="F168" s="21" t="s">
        <v>73</v>
      </c>
      <c r="G168" s="21" t="s">
        <v>73</v>
      </c>
      <c r="H168" s="36" t="s">
        <v>9</v>
      </c>
      <c r="I168" s="6" t="s">
        <v>361</v>
      </c>
    </row>
    <row r="169" ht="15.75" customHeight="1">
      <c r="A169" s="6" t="s">
        <v>438</v>
      </c>
      <c r="B169" s="21" t="s">
        <v>439</v>
      </c>
      <c r="C169" s="6" t="s">
        <v>364</v>
      </c>
      <c r="D169" s="6" t="s">
        <v>189</v>
      </c>
      <c r="E169" s="21" t="s">
        <v>73</v>
      </c>
      <c r="F169" s="21" t="s">
        <v>73</v>
      </c>
      <c r="G169" s="21" t="s">
        <v>73</v>
      </c>
      <c r="H169" s="36" t="s">
        <v>9</v>
      </c>
      <c r="I169" s="6" t="s">
        <v>365</v>
      </c>
    </row>
    <row r="170" ht="15.75" customHeight="1">
      <c r="A170" s="6" t="s">
        <v>440</v>
      </c>
      <c r="B170" s="21" t="s">
        <v>441</v>
      </c>
      <c r="C170" s="6" t="s">
        <v>200</v>
      </c>
      <c r="D170" s="6" t="s">
        <v>189</v>
      </c>
      <c r="E170" s="21" t="s">
        <v>73</v>
      </c>
      <c r="F170" s="21" t="s">
        <v>73</v>
      </c>
      <c r="G170" s="21" t="s">
        <v>73</v>
      </c>
      <c r="H170" s="36" t="s">
        <v>9</v>
      </c>
      <c r="I170" s="6" t="s">
        <v>361</v>
      </c>
    </row>
    <row r="171" ht="15.75" customHeight="1">
      <c r="A171" s="6" t="s">
        <v>442</v>
      </c>
      <c r="B171" s="21" t="s">
        <v>443</v>
      </c>
      <c r="C171" s="6" t="s">
        <v>197</v>
      </c>
      <c r="D171" s="6" t="s">
        <v>189</v>
      </c>
      <c r="E171" s="21" t="s">
        <v>73</v>
      </c>
      <c r="F171" s="21" t="s">
        <v>73</v>
      </c>
      <c r="G171" s="21" t="s">
        <v>73</v>
      </c>
      <c r="H171" s="36" t="s">
        <v>9</v>
      </c>
      <c r="I171" s="6" t="s">
        <v>361</v>
      </c>
    </row>
    <row r="172" ht="15.75" customHeight="1">
      <c r="A172" s="6" t="s">
        <v>444</v>
      </c>
      <c r="B172" s="21" t="s">
        <v>445</v>
      </c>
      <c r="C172" s="6" t="s">
        <v>364</v>
      </c>
      <c r="D172" s="6" t="s">
        <v>189</v>
      </c>
      <c r="E172" s="21" t="s">
        <v>73</v>
      </c>
      <c r="F172" s="21" t="s">
        <v>73</v>
      </c>
      <c r="G172" s="21" t="s">
        <v>73</v>
      </c>
      <c r="H172" s="36" t="s">
        <v>9</v>
      </c>
      <c r="I172" s="6" t="s">
        <v>446</v>
      </c>
    </row>
    <row r="173" ht="15.75" customHeight="1">
      <c r="A173" s="6" t="s">
        <v>447</v>
      </c>
      <c r="B173" s="21" t="s">
        <v>448</v>
      </c>
      <c r="C173" s="6" t="s">
        <v>200</v>
      </c>
      <c r="D173" s="6" t="s">
        <v>189</v>
      </c>
      <c r="E173" s="21" t="s">
        <v>73</v>
      </c>
      <c r="F173" s="21" t="s">
        <v>73</v>
      </c>
      <c r="G173" s="21" t="s">
        <v>73</v>
      </c>
      <c r="H173" s="36" t="s">
        <v>9</v>
      </c>
      <c r="I173" s="6" t="s">
        <v>361</v>
      </c>
    </row>
    <row r="174" ht="15.75" customHeight="1">
      <c r="A174" s="6" t="s">
        <v>449</v>
      </c>
      <c r="B174" s="21" t="s">
        <v>450</v>
      </c>
      <c r="C174" s="6" t="s">
        <v>257</v>
      </c>
      <c r="D174" s="6" t="s">
        <v>189</v>
      </c>
      <c r="E174" s="21" t="s">
        <v>73</v>
      </c>
      <c r="F174" s="21" t="s">
        <v>73</v>
      </c>
      <c r="G174" s="21" t="s">
        <v>73</v>
      </c>
      <c r="H174" s="36" t="s">
        <v>9</v>
      </c>
      <c r="I174" s="6" t="s">
        <v>361</v>
      </c>
    </row>
    <row r="175" ht="15.75" customHeight="1">
      <c r="A175" s="6" t="s">
        <v>451</v>
      </c>
      <c r="B175" s="21" t="s">
        <v>452</v>
      </c>
      <c r="C175" s="6" t="s">
        <v>215</v>
      </c>
      <c r="D175" s="6" t="s">
        <v>189</v>
      </c>
      <c r="E175" s="21" t="s">
        <v>73</v>
      </c>
      <c r="F175" s="21" t="s">
        <v>73</v>
      </c>
      <c r="G175" s="21" t="s">
        <v>73</v>
      </c>
      <c r="H175" s="36" t="s">
        <v>9</v>
      </c>
      <c r="I175" s="6" t="s">
        <v>361</v>
      </c>
    </row>
    <row r="176" ht="15.75" customHeight="1">
      <c r="A176" s="6" t="s">
        <v>453</v>
      </c>
      <c r="B176" s="21" t="s">
        <v>454</v>
      </c>
      <c r="C176" s="6" t="s">
        <v>197</v>
      </c>
      <c r="D176" s="6" t="s">
        <v>189</v>
      </c>
      <c r="E176" s="21" t="s">
        <v>73</v>
      </c>
      <c r="F176" s="21" t="s">
        <v>73</v>
      </c>
      <c r="G176" s="21" t="s">
        <v>73</v>
      </c>
      <c r="H176" s="36" t="s">
        <v>9</v>
      </c>
      <c r="I176" s="6" t="s">
        <v>361</v>
      </c>
    </row>
    <row r="177" ht="15.75" customHeight="1">
      <c r="A177" s="6" t="s">
        <v>455</v>
      </c>
      <c r="B177" s="21" t="s">
        <v>456</v>
      </c>
      <c r="C177" s="6" t="s">
        <v>194</v>
      </c>
      <c r="D177" s="6" t="s">
        <v>189</v>
      </c>
      <c r="E177" s="21" t="s">
        <v>73</v>
      </c>
      <c r="F177" s="21" t="s">
        <v>73</v>
      </c>
      <c r="G177" s="21" t="s">
        <v>73</v>
      </c>
      <c r="H177" s="36" t="s">
        <v>9</v>
      </c>
      <c r="I177" s="6" t="s">
        <v>361</v>
      </c>
    </row>
    <row r="178" ht="15.75" customHeight="1">
      <c r="A178" s="6" t="s">
        <v>457</v>
      </c>
      <c r="B178" s="21" t="s">
        <v>458</v>
      </c>
      <c r="C178" s="6" t="s">
        <v>286</v>
      </c>
      <c r="D178" s="6" t="s">
        <v>189</v>
      </c>
      <c r="E178" s="21" t="s">
        <v>73</v>
      </c>
      <c r="F178" s="21" t="s">
        <v>73</v>
      </c>
      <c r="G178" s="21" t="s">
        <v>73</v>
      </c>
      <c r="H178" s="36" t="s">
        <v>9</v>
      </c>
      <c r="I178" s="6" t="s">
        <v>361</v>
      </c>
    </row>
    <row r="179" ht="15.75" customHeight="1">
      <c r="A179" s="6" t="s">
        <v>459</v>
      </c>
      <c r="B179" s="21" t="s">
        <v>460</v>
      </c>
      <c r="C179" s="6" t="s">
        <v>211</v>
      </c>
      <c r="D179" s="6" t="s">
        <v>189</v>
      </c>
      <c r="E179" s="21" t="s">
        <v>73</v>
      </c>
      <c r="F179" s="21" t="s">
        <v>73</v>
      </c>
      <c r="G179" s="21" t="s">
        <v>73</v>
      </c>
      <c r="H179" s="36" t="s">
        <v>9</v>
      </c>
      <c r="I179" s="6" t="s">
        <v>361</v>
      </c>
    </row>
    <row r="180" ht="15.75" customHeight="1">
      <c r="A180" s="6" t="s">
        <v>461</v>
      </c>
      <c r="B180" s="21" t="s">
        <v>462</v>
      </c>
      <c r="C180" s="6" t="s">
        <v>197</v>
      </c>
      <c r="D180" s="6" t="s">
        <v>189</v>
      </c>
      <c r="E180" s="21" t="s">
        <v>73</v>
      </c>
      <c r="F180" s="21" t="s">
        <v>73</v>
      </c>
      <c r="G180" s="21" t="s">
        <v>73</v>
      </c>
      <c r="H180" s="36" t="s">
        <v>9</v>
      </c>
      <c r="I180" s="6" t="s">
        <v>361</v>
      </c>
    </row>
    <row r="181" ht="15.75" customHeight="1">
      <c r="A181" s="6" t="s">
        <v>463</v>
      </c>
      <c r="B181" s="21" t="s">
        <v>464</v>
      </c>
      <c r="C181" s="6" t="s">
        <v>368</v>
      </c>
      <c r="D181" s="6" t="s">
        <v>189</v>
      </c>
      <c r="E181" s="21" t="s">
        <v>73</v>
      </c>
      <c r="F181" s="21" t="s">
        <v>73</v>
      </c>
      <c r="G181" s="21" t="s">
        <v>73</v>
      </c>
      <c r="H181" s="36" t="s">
        <v>9</v>
      </c>
      <c r="I181" s="6" t="s">
        <v>361</v>
      </c>
    </row>
    <row r="182" ht="15.75" customHeight="1">
      <c r="A182" s="6" t="s">
        <v>465</v>
      </c>
      <c r="B182" s="21" t="s">
        <v>466</v>
      </c>
      <c r="C182" s="6" t="s">
        <v>368</v>
      </c>
      <c r="D182" s="6" t="s">
        <v>189</v>
      </c>
      <c r="E182" s="21" t="s">
        <v>73</v>
      </c>
      <c r="F182" s="21" t="s">
        <v>73</v>
      </c>
      <c r="G182" s="21" t="s">
        <v>73</v>
      </c>
      <c r="H182" s="36" t="s">
        <v>9</v>
      </c>
      <c r="I182" s="6" t="s">
        <v>361</v>
      </c>
    </row>
    <row r="183" ht="15.75" customHeight="1">
      <c r="A183" s="6" t="s">
        <v>467</v>
      </c>
      <c r="B183" s="21" t="s">
        <v>468</v>
      </c>
      <c r="C183" s="6" t="s">
        <v>200</v>
      </c>
      <c r="D183" s="6" t="s">
        <v>189</v>
      </c>
      <c r="E183" s="21" t="s">
        <v>73</v>
      </c>
      <c r="F183" s="21" t="s">
        <v>73</v>
      </c>
      <c r="G183" s="21" t="s">
        <v>73</v>
      </c>
      <c r="H183" s="36" t="s">
        <v>9</v>
      </c>
      <c r="I183" s="6" t="s">
        <v>361</v>
      </c>
    </row>
    <row r="184" ht="15.75" customHeight="1">
      <c r="A184" s="6" t="s">
        <v>469</v>
      </c>
      <c r="B184" s="21" t="s">
        <v>470</v>
      </c>
      <c r="C184" s="6" t="s">
        <v>286</v>
      </c>
      <c r="D184" s="6" t="s">
        <v>189</v>
      </c>
      <c r="E184" s="21" t="s">
        <v>73</v>
      </c>
      <c r="F184" s="21" t="s">
        <v>73</v>
      </c>
      <c r="G184" s="21" t="s">
        <v>73</v>
      </c>
      <c r="H184" s="36" t="s">
        <v>9</v>
      </c>
      <c r="I184" s="6" t="s">
        <v>361</v>
      </c>
    </row>
    <row r="185" ht="15.75" customHeight="1">
      <c r="A185" s="6" t="s">
        <v>471</v>
      </c>
      <c r="B185" s="21" t="s">
        <v>472</v>
      </c>
      <c r="C185" s="6" t="s">
        <v>364</v>
      </c>
      <c r="D185" s="6" t="s">
        <v>189</v>
      </c>
      <c r="E185" s="21" t="s">
        <v>73</v>
      </c>
      <c r="F185" s="21" t="s">
        <v>73</v>
      </c>
      <c r="G185" s="21" t="s">
        <v>73</v>
      </c>
      <c r="H185" s="36" t="s">
        <v>9</v>
      </c>
      <c r="I185" s="6" t="s">
        <v>473</v>
      </c>
    </row>
    <row r="186" ht="15.75" customHeight="1">
      <c r="A186" s="6" t="s">
        <v>474</v>
      </c>
      <c r="B186" s="21" t="s">
        <v>475</v>
      </c>
      <c r="C186" s="6" t="s">
        <v>286</v>
      </c>
      <c r="D186" s="6" t="s">
        <v>189</v>
      </c>
      <c r="E186" s="21" t="s">
        <v>73</v>
      </c>
      <c r="F186" s="21" t="s">
        <v>73</v>
      </c>
      <c r="G186" s="21" t="s">
        <v>73</v>
      </c>
      <c r="H186" s="36" t="s">
        <v>9</v>
      </c>
      <c r="I186" s="6" t="s">
        <v>361</v>
      </c>
    </row>
    <row r="187" ht="15.75" customHeight="1">
      <c r="A187" s="6" t="s">
        <v>476</v>
      </c>
      <c r="B187" s="21" t="s">
        <v>477</v>
      </c>
      <c r="C187" s="6" t="s">
        <v>215</v>
      </c>
      <c r="D187" s="6" t="s">
        <v>189</v>
      </c>
      <c r="E187" s="21" t="s">
        <v>73</v>
      </c>
      <c r="F187" s="21" t="s">
        <v>73</v>
      </c>
      <c r="G187" s="21" t="s">
        <v>73</v>
      </c>
      <c r="H187" s="36" t="s">
        <v>9</v>
      </c>
      <c r="I187" s="6" t="s">
        <v>361</v>
      </c>
    </row>
    <row r="188" ht="15.75" customHeight="1">
      <c r="A188" s="6" t="s">
        <v>478</v>
      </c>
      <c r="B188" s="21" t="s">
        <v>479</v>
      </c>
      <c r="C188" s="6" t="s">
        <v>211</v>
      </c>
      <c r="D188" s="6" t="s">
        <v>189</v>
      </c>
      <c r="E188" s="21" t="s">
        <v>73</v>
      </c>
      <c r="F188" s="21" t="s">
        <v>73</v>
      </c>
      <c r="G188" s="21" t="s">
        <v>73</v>
      </c>
      <c r="H188" s="36" t="s">
        <v>9</v>
      </c>
      <c r="I188" s="6" t="s">
        <v>361</v>
      </c>
    </row>
    <row r="189" ht="15.75" customHeight="1">
      <c r="A189" s="6" t="s">
        <v>480</v>
      </c>
      <c r="B189" s="21" t="s">
        <v>481</v>
      </c>
      <c r="C189" s="6" t="s">
        <v>286</v>
      </c>
      <c r="D189" s="6" t="s">
        <v>189</v>
      </c>
      <c r="E189" s="21" t="s">
        <v>73</v>
      </c>
      <c r="F189" s="21" t="s">
        <v>73</v>
      </c>
      <c r="G189" s="21" t="s">
        <v>73</v>
      </c>
      <c r="H189" s="36" t="s">
        <v>9</v>
      </c>
      <c r="I189" s="6" t="s">
        <v>361</v>
      </c>
    </row>
    <row r="190" ht="15.75" customHeight="1">
      <c r="A190" s="6" t="s">
        <v>482</v>
      </c>
      <c r="B190" s="21" t="s">
        <v>483</v>
      </c>
      <c r="C190" s="6" t="s">
        <v>286</v>
      </c>
      <c r="D190" s="6" t="s">
        <v>189</v>
      </c>
      <c r="E190" s="21" t="s">
        <v>73</v>
      </c>
      <c r="F190" s="21" t="s">
        <v>73</v>
      </c>
      <c r="G190" s="21" t="s">
        <v>73</v>
      </c>
      <c r="H190" s="36" t="s">
        <v>9</v>
      </c>
      <c r="I190" s="6" t="s">
        <v>361</v>
      </c>
    </row>
    <row r="191" ht="15.75" customHeight="1">
      <c r="A191" s="6" t="s">
        <v>484</v>
      </c>
      <c r="B191" s="21" t="s">
        <v>485</v>
      </c>
      <c r="C191" s="6" t="s">
        <v>200</v>
      </c>
      <c r="D191" s="6" t="s">
        <v>189</v>
      </c>
      <c r="E191" s="21" t="s">
        <v>73</v>
      </c>
      <c r="F191" s="21" t="s">
        <v>73</v>
      </c>
      <c r="G191" s="21" t="s">
        <v>73</v>
      </c>
      <c r="H191" s="36" t="s">
        <v>9</v>
      </c>
      <c r="I191" s="6" t="s">
        <v>361</v>
      </c>
    </row>
    <row r="192" ht="15.75" customHeight="1">
      <c r="A192" s="6" t="s">
        <v>486</v>
      </c>
      <c r="B192" s="21" t="s">
        <v>487</v>
      </c>
      <c r="C192" s="6" t="s">
        <v>200</v>
      </c>
      <c r="D192" s="6" t="s">
        <v>189</v>
      </c>
      <c r="E192" s="21" t="s">
        <v>73</v>
      </c>
      <c r="F192" s="21" t="s">
        <v>73</v>
      </c>
      <c r="G192" s="21" t="s">
        <v>73</v>
      </c>
      <c r="H192" s="36" t="s">
        <v>9</v>
      </c>
      <c r="I192" s="6" t="s">
        <v>361</v>
      </c>
    </row>
    <row r="193" ht="15.75" customHeight="1">
      <c r="A193" s="6" t="s">
        <v>488</v>
      </c>
      <c r="B193" s="21" t="s">
        <v>489</v>
      </c>
      <c r="C193" s="6" t="s">
        <v>257</v>
      </c>
      <c r="D193" s="6" t="s">
        <v>189</v>
      </c>
      <c r="E193" s="21" t="s">
        <v>73</v>
      </c>
      <c r="F193" s="21" t="s">
        <v>73</v>
      </c>
      <c r="G193" s="21" t="s">
        <v>73</v>
      </c>
      <c r="H193" s="36" t="s">
        <v>9</v>
      </c>
      <c r="I193" s="6" t="s">
        <v>361</v>
      </c>
    </row>
    <row r="194" ht="15.75" customHeight="1">
      <c r="A194" s="6" t="s">
        <v>490</v>
      </c>
      <c r="B194" s="21" t="s">
        <v>491</v>
      </c>
      <c r="C194" s="6" t="s">
        <v>286</v>
      </c>
      <c r="D194" s="6" t="s">
        <v>189</v>
      </c>
      <c r="E194" s="21" t="s">
        <v>73</v>
      </c>
      <c r="F194" s="21" t="s">
        <v>73</v>
      </c>
      <c r="G194" s="21" t="s">
        <v>73</v>
      </c>
      <c r="H194" s="36" t="s">
        <v>9</v>
      </c>
      <c r="I194" s="6" t="s">
        <v>361</v>
      </c>
    </row>
    <row r="195" ht="15.75" customHeight="1">
      <c r="A195" s="6" t="s">
        <v>492</v>
      </c>
      <c r="B195" s="21" t="s">
        <v>493</v>
      </c>
      <c r="C195" s="6" t="s">
        <v>286</v>
      </c>
      <c r="D195" s="6" t="s">
        <v>189</v>
      </c>
      <c r="E195" s="21" t="s">
        <v>73</v>
      </c>
      <c r="F195" s="21" t="s">
        <v>73</v>
      </c>
      <c r="G195" s="21" t="s">
        <v>73</v>
      </c>
      <c r="H195" s="36" t="s">
        <v>9</v>
      </c>
      <c r="I195" s="6" t="s">
        <v>361</v>
      </c>
    </row>
    <row r="196" ht="15.75" customHeight="1">
      <c r="A196" s="6" t="s">
        <v>494</v>
      </c>
      <c r="B196" s="21" t="s">
        <v>495</v>
      </c>
      <c r="C196" s="6" t="s">
        <v>368</v>
      </c>
      <c r="D196" s="6" t="s">
        <v>189</v>
      </c>
      <c r="E196" s="21" t="s">
        <v>73</v>
      </c>
      <c r="F196" s="21" t="s">
        <v>73</v>
      </c>
      <c r="G196" s="21" t="s">
        <v>73</v>
      </c>
      <c r="H196" s="36" t="s">
        <v>9</v>
      </c>
      <c r="I196" s="6" t="s">
        <v>361</v>
      </c>
    </row>
    <row r="197" ht="15.75" customHeight="1">
      <c r="A197" s="6" t="s">
        <v>496</v>
      </c>
      <c r="B197" s="21" t="s">
        <v>497</v>
      </c>
      <c r="C197" s="6" t="s">
        <v>368</v>
      </c>
      <c r="D197" s="6" t="s">
        <v>189</v>
      </c>
      <c r="E197" s="21" t="s">
        <v>73</v>
      </c>
      <c r="F197" s="21" t="s">
        <v>73</v>
      </c>
      <c r="G197" s="21" t="s">
        <v>73</v>
      </c>
      <c r="H197" s="36" t="s">
        <v>9</v>
      </c>
      <c r="I197" s="6" t="s">
        <v>361</v>
      </c>
    </row>
    <row r="198" ht="15.75" customHeight="1">
      <c r="A198" s="6" t="s">
        <v>498</v>
      </c>
      <c r="B198" s="21" t="s">
        <v>499</v>
      </c>
      <c r="C198" s="6" t="s">
        <v>200</v>
      </c>
      <c r="D198" s="6" t="s">
        <v>189</v>
      </c>
      <c r="E198" s="21" t="s">
        <v>73</v>
      </c>
      <c r="F198" s="21" t="s">
        <v>73</v>
      </c>
      <c r="G198" s="21" t="s">
        <v>73</v>
      </c>
      <c r="H198" s="36" t="s">
        <v>9</v>
      </c>
      <c r="I198" s="6" t="s">
        <v>361</v>
      </c>
    </row>
    <row r="199" ht="15.75" customHeight="1">
      <c r="A199" s="6" t="s">
        <v>500</v>
      </c>
      <c r="B199" s="21" t="s">
        <v>501</v>
      </c>
      <c r="C199" s="6" t="s">
        <v>215</v>
      </c>
      <c r="D199" s="6" t="s">
        <v>189</v>
      </c>
      <c r="E199" s="21" t="s">
        <v>73</v>
      </c>
      <c r="F199" s="21" t="s">
        <v>73</v>
      </c>
      <c r="G199" s="21" t="s">
        <v>73</v>
      </c>
      <c r="H199" s="36" t="s">
        <v>9</v>
      </c>
      <c r="I199" s="6" t="s">
        <v>361</v>
      </c>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99"/>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8.0"/>
    <col customWidth="1" min="3" max="3" width="9.0"/>
    <col customWidth="1" min="4" max="4" width="22.0"/>
    <col customWidth="1" min="5" max="5" width="28.0"/>
    <col customWidth="1" min="6" max="26" width="8.71"/>
  </cols>
  <sheetData>
    <row r="1">
      <c r="A1" s="37" t="s">
        <v>502</v>
      </c>
    </row>
    <row r="2">
      <c r="A2" s="18" t="s">
        <v>503</v>
      </c>
    </row>
    <row r="4">
      <c r="A4" s="19" t="s">
        <v>504</v>
      </c>
      <c r="B4" s="19" t="s">
        <v>61</v>
      </c>
      <c r="C4" s="19" t="s">
        <v>62</v>
      </c>
      <c r="D4" s="19" t="s">
        <v>505</v>
      </c>
      <c r="E4" s="19" t="s">
        <v>506</v>
      </c>
    </row>
    <row r="5">
      <c r="A5" s="21">
        <v>1.0</v>
      </c>
      <c r="B5" s="38" t="s">
        <v>209</v>
      </c>
      <c r="C5" s="21" t="s">
        <v>210</v>
      </c>
      <c r="D5" s="38" t="s">
        <v>211</v>
      </c>
      <c r="E5" s="21"/>
    </row>
    <row r="6">
      <c r="A6" s="21">
        <v>2.0</v>
      </c>
      <c r="B6" s="38" t="s">
        <v>213</v>
      </c>
      <c r="C6" s="21" t="s">
        <v>214</v>
      </c>
      <c r="D6" s="38" t="s">
        <v>215</v>
      </c>
      <c r="E6" s="21"/>
    </row>
    <row r="7">
      <c r="A7" s="21">
        <v>3.0</v>
      </c>
      <c r="B7" s="38" t="s">
        <v>216</v>
      </c>
      <c r="C7" s="21" t="s">
        <v>217</v>
      </c>
      <c r="D7" s="38" t="s">
        <v>211</v>
      </c>
      <c r="E7" s="21"/>
    </row>
    <row r="8">
      <c r="A8" s="21">
        <v>4.0</v>
      </c>
      <c r="B8" s="38" t="s">
        <v>218</v>
      </c>
      <c r="C8" s="21" t="s">
        <v>219</v>
      </c>
      <c r="D8" s="38" t="s">
        <v>194</v>
      </c>
      <c r="E8" s="21"/>
    </row>
    <row r="9">
      <c r="A9" s="21">
        <v>5.0</v>
      </c>
      <c r="B9" s="38" t="s">
        <v>220</v>
      </c>
      <c r="C9" s="21" t="s">
        <v>221</v>
      </c>
      <c r="D9" s="38" t="s">
        <v>194</v>
      </c>
      <c r="E9" s="21"/>
    </row>
    <row r="10">
      <c r="A10" s="21">
        <v>6.0</v>
      </c>
      <c r="B10" s="38" t="s">
        <v>222</v>
      </c>
      <c r="C10" s="21" t="s">
        <v>223</v>
      </c>
      <c r="D10" s="38" t="s">
        <v>188</v>
      </c>
      <c r="E10" s="21"/>
    </row>
    <row r="11">
      <c r="A11" s="21">
        <v>7.0</v>
      </c>
      <c r="B11" s="38" t="s">
        <v>224</v>
      </c>
      <c r="C11" s="21" t="s">
        <v>225</v>
      </c>
      <c r="D11" s="38" t="s">
        <v>200</v>
      </c>
      <c r="E11" s="21"/>
    </row>
    <row r="12">
      <c r="A12" s="21">
        <v>8.0</v>
      </c>
      <c r="B12" s="38" t="s">
        <v>226</v>
      </c>
      <c r="C12" s="21" t="s">
        <v>227</v>
      </c>
      <c r="D12" s="38" t="s">
        <v>228</v>
      </c>
      <c r="E12" s="21"/>
    </row>
    <row r="13">
      <c r="A13" s="21">
        <v>9.0</v>
      </c>
      <c r="B13" s="38" t="s">
        <v>229</v>
      </c>
      <c r="C13" s="21" t="s">
        <v>230</v>
      </c>
      <c r="D13" s="38" t="s">
        <v>228</v>
      </c>
      <c r="E13" s="21"/>
    </row>
    <row r="14">
      <c r="A14" s="39">
        <v>10.0</v>
      </c>
      <c r="B14" s="40" t="s">
        <v>186</v>
      </c>
      <c r="C14" s="39" t="s">
        <v>187</v>
      </c>
      <c r="D14" s="40" t="s">
        <v>188</v>
      </c>
      <c r="E14" s="39" t="s">
        <v>507</v>
      </c>
    </row>
    <row r="15">
      <c r="A15" s="21">
        <v>11.0</v>
      </c>
      <c r="B15" s="38" t="s">
        <v>231</v>
      </c>
      <c r="C15" s="21" t="s">
        <v>232</v>
      </c>
      <c r="D15" s="38" t="s">
        <v>188</v>
      </c>
      <c r="E15" s="21"/>
    </row>
    <row r="16">
      <c r="A16" s="21">
        <v>12.0</v>
      </c>
      <c r="B16" s="38" t="s">
        <v>233</v>
      </c>
      <c r="C16" s="21" t="s">
        <v>234</v>
      </c>
      <c r="D16" s="38" t="s">
        <v>188</v>
      </c>
      <c r="E16" s="21"/>
    </row>
    <row r="17">
      <c r="A17" s="21">
        <v>13.0</v>
      </c>
      <c r="B17" s="38" t="s">
        <v>235</v>
      </c>
      <c r="C17" s="21" t="s">
        <v>236</v>
      </c>
      <c r="D17" s="38" t="s">
        <v>188</v>
      </c>
      <c r="E17" s="21"/>
    </row>
    <row r="18">
      <c r="A18" s="21">
        <v>14.0</v>
      </c>
      <c r="B18" s="38" t="s">
        <v>237</v>
      </c>
      <c r="C18" s="21" t="s">
        <v>238</v>
      </c>
      <c r="D18" s="38" t="s">
        <v>188</v>
      </c>
      <c r="E18" s="21"/>
    </row>
    <row r="19">
      <c r="A19" s="21">
        <v>15.0</v>
      </c>
      <c r="B19" s="38" t="s">
        <v>239</v>
      </c>
      <c r="C19" s="21" t="s">
        <v>240</v>
      </c>
      <c r="D19" s="38" t="s">
        <v>194</v>
      </c>
      <c r="E19" s="21"/>
    </row>
    <row r="20">
      <c r="A20" s="21">
        <v>16.0</v>
      </c>
      <c r="B20" s="38" t="s">
        <v>241</v>
      </c>
      <c r="C20" s="21" t="s">
        <v>242</v>
      </c>
      <c r="D20" s="38" t="s">
        <v>194</v>
      </c>
      <c r="E20" s="21"/>
    </row>
    <row r="21" ht="15.75" customHeight="1">
      <c r="A21" s="39">
        <v>17.0</v>
      </c>
      <c r="B21" s="40" t="s">
        <v>192</v>
      </c>
      <c r="C21" s="39" t="s">
        <v>193</v>
      </c>
      <c r="D21" s="40" t="s">
        <v>194</v>
      </c>
      <c r="E21" s="39" t="s">
        <v>507</v>
      </c>
    </row>
    <row r="22" ht="15.75" customHeight="1">
      <c r="A22" s="39">
        <v>18.0</v>
      </c>
      <c r="B22" s="40" t="s">
        <v>195</v>
      </c>
      <c r="C22" s="39" t="s">
        <v>196</v>
      </c>
      <c r="D22" s="40" t="s">
        <v>197</v>
      </c>
      <c r="E22" s="39" t="s">
        <v>507</v>
      </c>
    </row>
    <row r="23" ht="15.75" customHeight="1">
      <c r="A23" s="39">
        <v>19.0</v>
      </c>
      <c r="B23" s="40" t="s">
        <v>198</v>
      </c>
      <c r="C23" s="39" t="s">
        <v>199</v>
      </c>
      <c r="D23" s="40" t="s">
        <v>200</v>
      </c>
      <c r="E23" s="39" t="s">
        <v>507</v>
      </c>
    </row>
    <row r="24" ht="15.75" customHeight="1">
      <c r="A24" s="21">
        <v>20.0</v>
      </c>
      <c r="B24" s="38" t="s">
        <v>243</v>
      </c>
      <c r="C24" s="21" t="s">
        <v>244</v>
      </c>
      <c r="D24" s="38" t="s">
        <v>200</v>
      </c>
      <c r="E24" s="21"/>
    </row>
    <row r="25" ht="15.75" customHeight="1">
      <c r="A25" s="21">
        <v>21.0</v>
      </c>
      <c r="B25" s="38" t="s">
        <v>245</v>
      </c>
      <c r="C25" s="21" t="s">
        <v>246</v>
      </c>
      <c r="D25" s="38" t="s">
        <v>215</v>
      </c>
      <c r="E25" s="21"/>
    </row>
    <row r="26" ht="15.75" customHeight="1">
      <c r="A26" s="21">
        <v>22.0</v>
      </c>
      <c r="B26" s="38" t="s">
        <v>247</v>
      </c>
      <c r="C26" s="21" t="s">
        <v>248</v>
      </c>
      <c r="D26" s="38" t="s">
        <v>194</v>
      </c>
      <c r="E26" s="21"/>
    </row>
    <row r="27" ht="15.75" customHeight="1">
      <c r="A27" s="21">
        <v>23.0</v>
      </c>
      <c r="B27" s="38" t="s">
        <v>249</v>
      </c>
      <c r="C27" s="21" t="s">
        <v>250</v>
      </c>
      <c r="D27" s="38" t="s">
        <v>188</v>
      </c>
      <c r="E27" s="21"/>
    </row>
    <row r="28" ht="15.75" customHeight="1">
      <c r="A28" s="21">
        <v>24.0</v>
      </c>
      <c r="B28" s="38" t="s">
        <v>251</v>
      </c>
      <c r="C28" s="21" t="s">
        <v>252</v>
      </c>
      <c r="D28" s="38" t="s">
        <v>215</v>
      </c>
      <c r="E28" s="21"/>
    </row>
    <row r="29" ht="15.75" customHeight="1">
      <c r="A29" s="21">
        <v>25.0</v>
      </c>
      <c r="B29" s="38" t="s">
        <v>253</v>
      </c>
      <c r="C29" s="21" t="s">
        <v>254</v>
      </c>
      <c r="D29" s="38" t="s">
        <v>194</v>
      </c>
      <c r="E29" s="21"/>
    </row>
    <row r="30" ht="15.75" customHeight="1">
      <c r="A30" s="21">
        <v>26.0</v>
      </c>
      <c r="B30" s="38" t="s">
        <v>255</v>
      </c>
      <c r="C30" s="21" t="s">
        <v>256</v>
      </c>
      <c r="D30" s="38" t="s">
        <v>257</v>
      </c>
      <c r="E30" s="21"/>
    </row>
    <row r="31" ht="15.75" customHeight="1">
      <c r="A31" s="21">
        <v>27.0</v>
      </c>
      <c r="B31" s="38" t="s">
        <v>258</v>
      </c>
      <c r="C31" s="21" t="s">
        <v>259</v>
      </c>
      <c r="D31" s="38" t="s">
        <v>215</v>
      </c>
      <c r="E31" s="21"/>
    </row>
    <row r="32" ht="15.75" customHeight="1">
      <c r="A32" s="21">
        <v>28.0</v>
      </c>
      <c r="B32" s="38" t="s">
        <v>260</v>
      </c>
      <c r="C32" s="21" t="s">
        <v>261</v>
      </c>
      <c r="D32" s="38" t="s">
        <v>200</v>
      </c>
      <c r="E32" s="21"/>
    </row>
    <row r="33" ht="15.75" customHeight="1">
      <c r="A33" s="21">
        <v>29.0</v>
      </c>
      <c r="B33" s="38" t="s">
        <v>262</v>
      </c>
      <c r="C33" s="21" t="s">
        <v>263</v>
      </c>
      <c r="D33" s="38" t="s">
        <v>211</v>
      </c>
      <c r="E33" s="21"/>
    </row>
    <row r="34" ht="15.75" customHeight="1">
      <c r="A34" s="21">
        <v>30.0</v>
      </c>
      <c r="B34" s="38" t="s">
        <v>264</v>
      </c>
      <c r="C34" s="21" t="s">
        <v>265</v>
      </c>
      <c r="D34" s="38" t="s">
        <v>194</v>
      </c>
      <c r="E34" s="21"/>
    </row>
    <row r="35" ht="15.75" customHeight="1">
      <c r="A35" s="21">
        <v>31.0</v>
      </c>
      <c r="B35" s="38" t="s">
        <v>266</v>
      </c>
      <c r="C35" s="21" t="s">
        <v>267</v>
      </c>
      <c r="D35" s="38" t="s">
        <v>188</v>
      </c>
      <c r="E35" s="21"/>
    </row>
    <row r="36" ht="15.75" customHeight="1">
      <c r="A36" s="21">
        <v>32.0</v>
      </c>
      <c r="B36" s="38" t="s">
        <v>268</v>
      </c>
      <c r="C36" s="21" t="s">
        <v>269</v>
      </c>
      <c r="D36" s="38" t="s">
        <v>194</v>
      </c>
      <c r="E36" s="21"/>
    </row>
    <row r="37" ht="15.75" customHeight="1">
      <c r="A37" s="21">
        <v>33.0</v>
      </c>
      <c r="B37" s="38" t="s">
        <v>270</v>
      </c>
      <c r="C37" s="21" t="s">
        <v>271</v>
      </c>
      <c r="D37" s="38" t="s">
        <v>194</v>
      </c>
      <c r="E37" s="21"/>
    </row>
    <row r="38" ht="15.75" customHeight="1">
      <c r="A38" s="39">
        <v>34.0</v>
      </c>
      <c r="B38" s="40" t="s">
        <v>201</v>
      </c>
      <c r="C38" s="39" t="s">
        <v>202</v>
      </c>
      <c r="D38" s="40" t="s">
        <v>200</v>
      </c>
      <c r="E38" s="39" t="s">
        <v>507</v>
      </c>
    </row>
    <row r="39" ht="15.75" customHeight="1">
      <c r="A39" s="21">
        <v>35.0</v>
      </c>
      <c r="B39" s="38" t="s">
        <v>272</v>
      </c>
      <c r="C39" s="21" t="s">
        <v>273</v>
      </c>
      <c r="D39" s="38" t="s">
        <v>188</v>
      </c>
      <c r="E39" s="21"/>
    </row>
    <row r="40" ht="15.75" customHeight="1">
      <c r="A40" s="21">
        <v>36.0</v>
      </c>
      <c r="B40" s="38" t="s">
        <v>274</v>
      </c>
      <c r="C40" s="21" t="s">
        <v>275</v>
      </c>
      <c r="D40" s="38" t="s">
        <v>188</v>
      </c>
      <c r="E40" s="21"/>
    </row>
    <row r="41" ht="15.75" customHeight="1">
      <c r="A41" s="21">
        <v>37.0</v>
      </c>
      <c r="B41" s="38" t="s">
        <v>276</v>
      </c>
      <c r="C41" s="21" t="s">
        <v>277</v>
      </c>
      <c r="D41" s="38" t="s">
        <v>257</v>
      </c>
      <c r="E41" s="21"/>
    </row>
    <row r="42" ht="15.75" customHeight="1">
      <c r="A42" s="39">
        <v>38.0</v>
      </c>
      <c r="B42" s="40" t="s">
        <v>203</v>
      </c>
      <c r="C42" s="39" t="s">
        <v>204</v>
      </c>
      <c r="D42" s="40" t="s">
        <v>200</v>
      </c>
      <c r="E42" s="39" t="s">
        <v>507</v>
      </c>
    </row>
    <row r="43" ht="15.75" customHeight="1">
      <c r="A43" s="21">
        <v>39.0</v>
      </c>
      <c r="B43" s="38" t="s">
        <v>278</v>
      </c>
      <c r="C43" s="21" t="s">
        <v>279</v>
      </c>
      <c r="D43" s="38" t="s">
        <v>194</v>
      </c>
      <c r="E43" s="21"/>
    </row>
    <row r="44" ht="15.75" customHeight="1">
      <c r="A44" s="39">
        <v>40.0</v>
      </c>
      <c r="B44" s="40" t="s">
        <v>205</v>
      </c>
      <c r="C44" s="39" t="s">
        <v>206</v>
      </c>
      <c r="D44" s="40" t="s">
        <v>207</v>
      </c>
      <c r="E44" s="39" t="s">
        <v>507</v>
      </c>
    </row>
    <row r="45" ht="15.75" customHeight="1">
      <c r="A45" s="21">
        <v>41.0</v>
      </c>
      <c r="B45" s="38" t="s">
        <v>280</v>
      </c>
      <c r="C45" s="21" t="s">
        <v>281</v>
      </c>
      <c r="D45" s="38" t="s">
        <v>188</v>
      </c>
      <c r="E45" s="21"/>
    </row>
    <row r="46" ht="15.75" customHeight="1">
      <c r="A46" s="21">
        <v>42.0</v>
      </c>
      <c r="B46" s="38" t="s">
        <v>282</v>
      </c>
      <c r="C46" s="21" t="s">
        <v>283</v>
      </c>
      <c r="D46" s="38" t="s">
        <v>188</v>
      </c>
      <c r="E46" s="21"/>
    </row>
    <row r="47" ht="15.75" customHeight="1">
      <c r="A47" s="21">
        <v>43.0</v>
      </c>
      <c r="B47" s="38" t="s">
        <v>284</v>
      </c>
      <c r="C47" s="21" t="s">
        <v>285</v>
      </c>
      <c r="D47" s="38" t="s">
        <v>286</v>
      </c>
      <c r="E47" s="21"/>
    </row>
    <row r="48" ht="15.75" customHeight="1">
      <c r="A48" s="21">
        <v>44.0</v>
      </c>
      <c r="B48" s="38" t="s">
        <v>287</v>
      </c>
      <c r="C48" s="21" t="s">
        <v>288</v>
      </c>
      <c r="D48" s="38" t="s">
        <v>215</v>
      </c>
      <c r="E48" s="2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8.0"/>
    <col customWidth="1" min="3" max="3" width="9.0"/>
    <col customWidth="1" min="4" max="5" width="28.0"/>
    <col customWidth="1" min="6" max="26" width="8.71"/>
  </cols>
  <sheetData>
    <row r="1">
      <c r="A1" s="37" t="s">
        <v>508</v>
      </c>
    </row>
    <row r="2">
      <c r="A2" s="18" t="s">
        <v>509</v>
      </c>
    </row>
    <row r="4">
      <c r="A4" s="19" t="s">
        <v>504</v>
      </c>
      <c r="B4" s="19" t="s">
        <v>510</v>
      </c>
      <c r="C4" s="19" t="s">
        <v>62</v>
      </c>
      <c r="D4" s="19" t="s">
        <v>505</v>
      </c>
      <c r="E4" s="19" t="s">
        <v>506</v>
      </c>
    </row>
    <row r="5">
      <c r="A5" s="21">
        <v>1.0</v>
      </c>
      <c r="B5" s="38" t="s">
        <v>289</v>
      </c>
      <c r="C5" s="21" t="s">
        <v>290</v>
      </c>
      <c r="D5" s="38" t="s">
        <v>291</v>
      </c>
      <c r="E5" s="21"/>
    </row>
    <row r="6">
      <c r="A6" s="21">
        <v>2.0</v>
      </c>
      <c r="B6" s="38" t="s">
        <v>293</v>
      </c>
      <c r="C6" s="21" t="s">
        <v>294</v>
      </c>
      <c r="D6" s="38" t="s">
        <v>291</v>
      </c>
      <c r="E6" s="21"/>
    </row>
    <row r="7">
      <c r="A7" s="21">
        <v>3.0</v>
      </c>
      <c r="B7" s="38" t="s">
        <v>296</v>
      </c>
      <c r="C7" s="21" t="s">
        <v>297</v>
      </c>
      <c r="D7" s="38" t="s">
        <v>291</v>
      </c>
      <c r="E7" s="21"/>
    </row>
    <row r="8">
      <c r="A8" s="21">
        <v>4.0</v>
      </c>
      <c r="B8" s="38" t="s">
        <v>298</v>
      </c>
      <c r="C8" s="21" t="s">
        <v>299</v>
      </c>
      <c r="D8" s="38" t="s">
        <v>291</v>
      </c>
      <c r="E8" s="21"/>
    </row>
    <row r="9">
      <c r="A9" s="21">
        <v>5.0</v>
      </c>
      <c r="B9" s="38" t="s">
        <v>300</v>
      </c>
      <c r="C9" s="21" t="s">
        <v>301</v>
      </c>
      <c r="D9" s="38" t="s">
        <v>194</v>
      </c>
      <c r="E9" s="21"/>
    </row>
    <row r="10">
      <c r="A10" s="39">
        <v>6.0</v>
      </c>
      <c r="B10" s="40" t="s">
        <v>186</v>
      </c>
      <c r="C10" s="39" t="s">
        <v>187</v>
      </c>
      <c r="D10" s="40" t="s">
        <v>188</v>
      </c>
      <c r="E10" s="39" t="s">
        <v>511</v>
      </c>
    </row>
    <row r="11">
      <c r="A11" s="21">
        <v>7.0</v>
      </c>
      <c r="B11" s="38" t="s">
        <v>302</v>
      </c>
      <c r="C11" s="21" t="s">
        <v>303</v>
      </c>
      <c r="D11" s="38" t="s">
        <v>304</v>
      </c>
      <c r="E11" s="21"/>
    </row>
    <row r="12">
      <c r="A12" s="21">
        <v>8.0</v>
      </c>
      <c r="B12" s="38" t="s">
        <v>306</v>
      </c>
      <c r="C12" s="21" t="s">
        <v>307</v>
      </c>
      <c r="D12" s="38" t="s">
        <v>197</v>
      </c>
      <c r="E12" s="21"/>
    </row>
    <row r="13">
      <c r="A13" s="21">
        <v>9.0</v>
      </c>
      <c r="B13" s="38" t="s">
        <v>308</v>
      </c>
      <c r="C13" s="21" t="s">
        <v>309</v>
      </c>
      <c r="D13" s="38" t="s">
        <v>291</v>
      </c>
      <c r="E13" s="21"/>
    </row>
    <row r="14">
      <c r="A14" s="21">
        <v>10.0</v>
      </c>
      <c r="B14" s="38" t="s">
        <v>310</v>
      </c>
      <c r="C14" s="21" t="s">
        <v>311</v>
      </c>
      <c r="D14" s="38" t="s">
        <v>197</v>
      </c>
      <c r="E14" s="21"/>
    </row>
    <row r="15">
      <c r="A15" s="21">
        <v>11.0</v>
      </c>
      <c r="B15" s="38" t="s">
        <v>312</v>
      </c>
      <c r="C15" s="21" t="s">
        <v>313</v>
      </c>
      <c r="D15" s="38" t="s">
        <v>207</v>
      </c>
      <c r="E15" s="21"/>
    </row>
    <row r="16">
      <c r="A16" s="21">
        <v>12.0</v>
      </c>
      <c r="B16" s="38" t="s">
        <v>314</v>
      </c>
      <c r="C16" s="21" t="s">
        <v>315</v>
      </c>
      <c r="D16" s="38" t="s">
        <v>200</v>
      </c>
      <c r="E16" s="21"/>
    </row>
    <row r="17">
      <c r="A17" s="21">
        <v>13.0</v>
      </c>
      <c r="B17" s="38" t="s">
        <v>316</v>
      </c>
      <c r="C17" s="21" t="s">
        <v>317</v>
      </c>
      <c r="D17" s="38" t="s">
        <v>291</v>
      </c>
      <c r="E17" s="21"/>
    </row>
    <row r="18">
      <c r="A18" s="39">
        <v>14.0</v>
      </c>
      <c r="B18" s="40" t="s">
        <v>192</v>
      </c>
      <c r="C18" s="39" t="s">
        <v>193</v>
      </c>
      <c r="D18" s="40" t="s">
        <v>194</v>
      </c>
      <c r="E18" s="39" t="s">
        <v>511</v>
      </c>
    </row>
    <row r="19">
      <c r="A19" s="21">
        <v>15.0</v>
      </c>
      <c r="B19" s="38" t="s">
        <v>318</v>
      </c>
      <c r="C19" s="21" t="s">
        <v>319</v>
      </c>
      <c r="D19" s="38" t="s">
        <v>291</v>
      </c>
      <c r="E19" s="21"/>
    </row>
    <row r="20">
      <c r="A20" s="39">
        <v>16.0</v>
      </c>
      <c r="B20" s="40" t="s">
        <v>195</v>
      </c>
      <c r="C20" s="39" t="s">
        <v>196</v>
      </c>
      <c r="D20" s="40" t="s">
        <v>197</v>
      </c>
      <c r="E20" s="39" t="s">
        <v>511</v>
      </c>
    </row>
    <row r="21" ht="15.75" customHeight="1">
      <c r="A21" s="21">
        <v>17.0</v>
      </c>
      <c r="B21" s="38" t="s">
        <v>320</v>
      </c>
      <c r="C21" s="21" t="s">
        <v>321</v>
      </c>
      <c r="D21" s="38" t="s">
        <v>291</v>
      </c>
      <c r="E21" s="21"/>
    </row>
    <row r="22" ht="15.75" customHeight="1">
      <c r="A22" s="39">
        <v>18.0</v>
      </c>
      <c r="B22" s="40" t="s">
        <v>198</v>
      </c>
      <c r="C22" s="39" t="s">
        <v>199</v>
      </c>
      <c r="D22" s="40" t="s">
        <v>200</v>
      </c>
      <c r="E22" s="39" t="s">
        <v>511</v>
      </c>
    </row>
    <row r="23" ht="15.75" customHeight="1">
      <c r="A23" s="21">
        <v>19.0</v>
      </c>
      <c r="B23" s="38" t="s">
        <v>322</v>
      </c>
      <c r="C23" s="21" t="s">
        <v>323</v>
      </c>
      <c r="D23" s="38" t="s">
        <v>211</v>
      </c>
      <c r="E23" s="21"/>
    </row>
    <row r="24" ht="15.75" customHeight="1">
      <c r="A24" s="21">
        <v>20.0</v>
      </c>
      <c r="B24" s="38" t="s">
        <v>324</v>
      </c>
      <c r="C24" s="21" t="s">
        <v>325</v>
      </c>
      <c r="D24" s="38" t="s">
        <v>207</v>
      </c>
      <c r="E24" s="21"/>
    </row>
    <row r="25" ht="15.75" customHeight="1">
      <c r="A25" s="21">
        <v>21.0</v>
      </c>
      <c r="B25" s="38" t="s">
        <v>326</v>
      </c>
      <c r="C25" s="21" t="s">
        <v>327</v>
      </c>
      <c r="D25" s="38" t="s">
        <v>215</v>
      </c>
      <c r="E25" s="21"/>
    </row>
    <row r="26" ht="15.75" customHeight="1">
      <c r="A26" s="21">
        <v>22.0</v>
      </c>
      <c r="B26" s="38" t="s">
        <v>328</v>
      </c>
      <c r="C26" s="21" t="s">
        <v>329</v>
      </c>
      <c r="D26" s="38" t="s">
        <v>207</v>
      </c>
      <c r="E26" s="21"/>
    </row>
    <row r="27" ht="15.75" customHeight="1">
      <c r="A27" s="21">
        <v>23.0</v>
      </c>
      <c r="B27" s="38" t="s">
        <v>330</v>
      </c>
      <c r="C27" s="21" t="s">
        <v>331</v>
      </c>
      <c r="D27" s="38" t="s">
        <v>304</v>
      </c>
      <c r="E27" s="21"/>
    </row>
    <row r="28" ht="15.75" customHeight="1">
      <c r="A28" s="21">
        <v>24.0</v>
      </c>
      <c r="B28" s="38" t="s">
        <v>332</v>
      </c>
      <c r="C28" s="21" t="s">
        <v>333</v>
      </c>
      <c r="D28" s="38" t="s">
        <v>207</v>
      </c>
      <c r="E28" s="21"/>
    </row>
    <row r="29" ht="15.75" customHeight="1">
      <c r="A29" s="21">
        <v>25.0</v>
      </c>
      <c r="B29" s="38" t="s">
        <v>334</v>
      </c>
      <c r="C29" s="21" t="s">
        <v>335</v>
      </c>
      <c r="D29" s="38" t="s">
        <v>200</v>
      </c>
      <c r="E29" s="21"/>
    </row>
    <row r="30" ht="15.75" customHeight="1">
      <c r="A30" s="21">
        <v>26.0</v>
      </c>
      <c r="B30" s="38" t="s">
        <v>336</v>
      </c>
      <c r="C30" s="21" t="s">
        <v>337</v>
      </c>
      <c r="D30" s="38" t="s">
        <v>291</v>
      </c>
      <c r="E30" s="21"/>
    </row>
    <row r="31" ht="15.75" customHeight="1">
      <c r="A31" s="21">
        <v>27.0</v>
      </c>
      <c r="B31" s="38" t="s">
        <v>338</v>
      </c>
      <c r="C31" s="21" t="s">
        <v>339</v>
      </c>
      <c r="D31" s="38" t="s">
        <v>291</v>
      </c>
      <c r="E31" s="21"/>
    </row>
    <row r="32" ht="15.75" customHeight="1">
      <c r="A32" s="21">
        <v>28.0</v>
      </c>
      <c r="B32" s="38" t="s">
        <v>340</v>
      </c>
      <c r="C32" s="21" t="s">
        <v>341</v>
      </c>
      <c r="D32" s="38" t="s">
        <v>291</v>
      </c>
      <c r="E32" s="21"/>
    </row>
    <row r="33" ht="15.75" customHeight="1">
      <c r="A33" s="21">
        <v>29.0</v>
      </c>
      <c r="B33" s="38" t="s">
        <v>342</v>
      </c>
      <c r="C33" s="21" t="s">
        <v>343</v>
      </c>
      <c r="D33" s="38" t="s">
        <v>200</v>
      </c>
      <c r="E33" s="21"/>
    </row>
    <row r="34" ht="15.75" customHeight="1">
      <c r="A34" s="21">
        <v>30.0</v>
      </c>
      <c r="B34" s="38" t="s">
        <v>344</v>
      </c>
      <c r="C34" s="21" t="s">
        <v>345</v>
      </c>
      <c r="D34" s="38" t="s">
        <v>228</v>
      </c>
      <c r="E34" s="21"/>
    </row>
    <row r="35" ht="15.75" customHeight="1">
      <c r="A35" s="21">
        <v>31.0</v>
      </c>
      <c r="B35" s="38" t="s">
        <v>346</v>
      </c>
      <c r="C35" s="21" t="s">
        <v>347</v>
      </c>
      <c r="D35" s="38" t="s">
        <v>348</v>
      </c>
      <c r="E35" s="21"/>
    </row>
    <row r="36" ht="15.75" customHeight="1">
      <c r="A36" s="21">
        <v>32.0</v>
      </c>
      <c r="B36" s="38" t="s">
        <v>349</v>
      </c>
      <c r="C36" s="21" t="s">
        <v>350</v>
      </c>
      <c r="D36" s="38" t="s">
        <v>200</v>
      </c>
      <c r="E36" s="21"/>
    </row>
    <row r="37" ht="15.75" customHeight="1">
      <c r="A37" s="39">
        <v>33.0</v>
      </c>
      <c r="B37" s="40" t="s">
        <v>201</v>
      </c>
      <c r="C37" s="39" t="s">
        <v>202</v>
      </c>
      <c r="D37" s="40" t="s">
        <v>200</v>
      </c>
      <c r="E37" s="39" t="s">
        <v>511</v>
      </c>
    </row>
    <row r="38" ht="15.75" customHeight="1">
      <c r="A38" s="21">
        <v>34.0</v>
      </c>
      <c r="B38" s="38" t="s">
        <v>351</v>
      </c>
      <c r="C38" s="21" t="s">
        <v>352</v>
      </c>
      <c r="D38" s="38" t="s">
        <v>291</v>
      </c>
      <c r="E38" s="21"/>
    </row>
    <row r="39" ht="15.75" customHeight="1">
      <c r="A39" s="39">
        <v>35.0</v>
      </c>
      <c r="B39" s="40" t="s">
        <v>203</v>
      </c>
      <c r="C39" s="39" t="s">
        <v>204</v>
      </c>
      <c r="D39" s="40" t="s">
        <v>200</v>
      </c>
      <c r="E39" s="39" t="s">
        <v>511</v>
      </c>
    </row>
    <row r="40" ht="15.75" customHeight="1">
      <c r="A40" s="21">
        <v>36.0</v>
      </c>
      <c r="B40" s="38" t="s">
        <v>353</v>
      </c>
      <c r="C40" s="21" t="s">
        <v>354</v>
      </c>
      <c r="D40" s="38" t="s">
        <v>207</v>
      </c>
      <c r="E40" s="21"/>
    </row>
    <row r="41" ht="15.75" customHeight="1">
      <c r="A41" s="21">
        <v>37.0</v>
      </c>
      <c r="B41" s="38" t="s">
        <v>355</v>
      </c>
      <c r="C41" s="21" t="s">
        <v>356</v>
      </c>
      <c r="D41" s="38" t="s">
        <v>291</v>
      </c>
      <c r="E41" s="21"/>
    </row>
    <row r="42" ht="15.75" customHeight="1">
      <c r="A42" s="39">
        <v>38.0</v>
      </c>
      <c r="B42" s="40" t="s">
        <v>205</v>
      </c>
      <c r="C42" s="39" t="s">
        <v>206</v>
      </c>
      <c r="D42" s="40" t="s">
        <v>207</v>
      </c>
      <c r="E42" s="39" t="s">
        <v>511</v>
      </c>
    </row>
    <row r="43" ht="15.75" customHeight="1">
      <c r="A43" s="21">
        <v>39.0</v>
      </c>
      <c r="B43" s="38" t="s">
        <v>357</v>
      </c>
      <c r="C43" s="21" t="s">
        <v>358</v>
      </c>
      <c r="D43" s="38" t="s">
        <v>200</v>
      </c>
      <c r="E43" s="21"/>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8.0"/>
    <col customWidth="1" min="3" max="3" width="9.0"/>
    <col customWidth="1" min="4" max="4" width="28.0"/>
    <col customWidth="1" min="5" max="26" width="8.71"/>
  </cols>
  <sheetData>
    <row r="1">
      <c r="A1" s="37" t="s">
        <v>512</v>
      </c>
    </row>
    <row r="2">
      <c r="A2" s="18" t="s">
        <v>513</v>
      </c>
    </row>
    <row r="4">
      <c r="A4" s="19" t="s">
        <v>504</v>
      </c>
      <c r="B4" s="19" t="s">
        <v>61</v>
      </c>
      <c r="C4" s="19" t="s">
        <v>62</v>
      </c>
      <c r="D4" s="19" t="s">
        <v>505</v>
      </c>
    </row>
    <row r="5">
      <c r="A5" s="39">
        <v>1.0</v>
      </c>
      <c r="B5" s="40" t="s">
        <v>186</v>
      </c>
      <c r="C5" s="39" t="s">
        <v>187</v>
      </c>
      <c r="D5" s="40" t="s">
        <v>188</v>
      </c>
    </row>
    <row r="6">
      <c r="A6" s="39">
        <v>2.0</v>
      </c>
      <c r="B6" s="40" t="s">
        <v>192</v>
      </c>
      <c r="C6" s="39" t="s">
        <v>193</v>
      </c>
      <c r="D6" s="40" t="s">
        <v>194</v>
      </c>
    </row>
    <row r="7">
      <c r="A7" s="39">
        <v>3.0</v>
      </c>
      <c r="B7" s="40" t="s">
        <v>195</v>
      </c>
      <c r="C7" s="39" t="s">
        <v>196</v>
      </c>
      <c r="D7" s="40" t="s">
        <v>197</v>
      </c>
    </row>
    <row r="8">
      <c r="A8" s="39">
        <v>4.0</v>
      </c>
      <c r="B8" s="40" t="s">
        <v>198</v>
      </c>
      <c r="C8" s="39" t="s">
        <v>199</v>
      </c>
      <c r="D8" s="40" t="s">
        <v>200</v>
      </c>
    </row>
    <row r="9">
      <c r="A9" s="39">
        <v>5.0</v>
      </c>
      <c r="B9" s="40" t="s">
        <v>201</v>
      </c>
      <c r="C9" s="39" t="s">
        <v>202</v>
      </c>
      <c r="D9" s="40" t="s">
        <v>200</v>
      </c>
    </row>
    <row r="10">
      <c r="A10" s="39">
        <v>6.0</v>
      </c>
      <c r="B10" s="40" t="s">
        <v>203</v>
      </c>
      <c r="C10" s="39" t="s">
        <v>204</v>
      </c>
      <c r="D10" s="40" t="s">
        <v>200</v>
      </c>
    </row>
    <row r="11">
      <c r="A11" s="39">
        <v>7.0</v>
      </c>
      <c r="B11" s="40" t="s">
        <v>205</v>
      </c>
      <c r="C11" s="39" t="s">
        <v>206</v>
      </c>
      <c r="D11" s="40" t="s">
        <v>207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2.0"/>
    <col customWidth="1" min="3" max="3" width="9.0"/>
    <col customWidth="1" min="4" max="4" width="15.0"/>
    <col customWidth="1" min="5" max="5" width="42.0"/>
    <col customWidth="1" min="6" max="26" width="8.71"/>
  </cols>
  <sheetData>
    <row r="1">
      <c r="A1" s="37" t="s">
        <v>514</v>
      </c>
    </row>
    <row r="2">
      <c r="A2" s="18" t="s">
        <v>515</v>
      </c>
    </row>
    <row r="4">
      <c r="A4" s="19" t="s">
        <v>504</v>
      </c>
      <c r="B4" s="19" t="s">
        <v>516</v>
      </c>
      <c r="C4" s="19" t="s">
        <v>62</v>
      </c>
      <c r="D4" s="19" t="s">
        <v>505</v>
      </c>
      <c r="E4" s="19" t="s">
        <v>517</v>
      </c>
    </row>
    <row r="5">
      <c r="A5" s="41">
        <v>1.0</v>
      </c>
      <c r="B5" s="42" t="s">
        <v>518</v>
      </c>
      <c r="C5" s="41" t="s">
        <v>519</v>
      </c>
      <c r="D5" s="42" t="s">
        <v>520</v>
      </c>
      <c r="E5" s="42" t="s">
        <v>521</v>
      </c>
    </row>
    <row r="6">
      <c r="A6" s="41">
        <v>2.0</v>
      </c>
      <c r="B6" s="42" t="s">
        <v>522</v>
      </c>
      <c r="C6" s="41" t="s">
        <v>523</v>
      </c>
      <c r="D6" s="42" t="s">
        <v>291</v>
      </c>
      <c r="E6" s="42" t="s">
        <v>524</v>
      </c>
    </row>
    <row r="7">
      <c r="A7" s="41">
        <v>3.0</v>
      </c>
      <c r="B7" s="42" t="s">
        <v>525</v>
      </c>
      <c r="C7" s="41" t="s">
        <v>526</v>
      </c>
      <c r="D7" s="42" t="s">
        <v>291</v>
      </c>
      <c r="E7" s="42" t="s">
        <v>527</v>
      </c>
    </row>
    <row r="8">
      <c r="A8" s="41">
        <v>4.0</v>
      </c>
      <c r="B8" s="42" t="s">
        <v>528</v>
      </c>
      <c r="C8" s="41" t="s">
        <v>529</v>
      </c>
      <c r="D8" s="42" t="s">
        <v>530</v>
      </c>
      <c r="E8" s="42" t="s">
        <v>524</v>
      </c>
    </row>
    <row r="9">
      <c r="A9" s="41">
        <v>5.0</v>
      </c>
      <c r="B9" s="42" t="s">
        <v>531</v>
      </c>
      <c r="C9" s="41" t="s">
        <v>532</v>
      </c>
      <c r="D9" s="42" t="s">
        <v>291</v>
      </c>
      <c r="E9" s="42" t="s">
        <v>524</v>
      </c>
    </row>
    <row r="10">
      <c r="A10" s="41">
        <v>6.0</v>
      </c>
      <c r="B10" s="42" t="s">
        <v>533</v>
      </c>
      <c r="C10" s="41" t="s">
        <v>534</v>
      </c>
      <c r="D10" s="42" t="s">
        <v>291</v>
      </c>
      <c r="E10" s="42" t="s">
        <v>524</v>
      </c>
    </row>
    <row r="11">
      <c r="A11" s="41">
        <v>7.0</v>
      </c>
      <c r="B11" s="42" t="s">
        <v>535</v>
      </c>
      <c r="C11" s="41" t="s">
        <v>536</v>
      </c>
      <c r="D11" s="42" t="s">
        <v>520</v>
      </c>
      <c r="E11" s="42" t="s">
        <v>521</v>
      </c>
    </row>
    <row r="12">
      <c r="A12" s="41">
        <v>8.0</v>
      </c>
      <c r="B12" s="42" t="s">
        <v>537</v>
      </c>
      <c r="C12" s="41" t="s">
        <v>538</v>
      </c>
      <c r="D12" s="42" t="s">
        <v>291</v>
      </c>
      <c r="E12" s="42" t="s">
        <v>527</v>
      </c>
    </row>
    <row r="13">
      <c r="A13" s="41">
        <v>9.0</v>
      </c>
      <c r="B13" s="42" t="s">
        <v>539</v>
      </c>
      <c r="C13" s="41" t="s">
        <v>540</v>
      </c>
      <c r="D13" s="42" t="s">
        <v>520</v>
      </c>
      <c r="E13" s="42" t="s">
        <v>541</v>
      </c>
    </row>
    <row r="14">
      <c r="A14" s="41">
        <v>10.0</v>
      </c>
      <c r="B14" s="42" t="s">
        <v>542</v>
      </c>
      <c r="C14" s="41" t="s">
        <v>543</v>
      </c>
      <c r="D14" s="42" t="s">
        <v>291</v>
      </c>
      <c r="E14" s="42" t="s">
        <v>544</v>
      </c>
    </row>
    <row r="15">
      <c r="A15" s="41">
        <v>11.0</v>
      </c>
      <c r="B15" s="42" t="s">
        <v>545</v>
      </c>
      <c r="C15" s="41" t="s">
        <v>546</v>
      </c>
      <c r="D15" s="42" t="s">
        <v>520</v>
      </c>
      <c r="E15" s="42" t="s">
        <v>521</v>
      </c>
    </row>
    <row r="16">
      <c r="A16" s="41">
        <v>12.0</v>
      </c>
      <c r="B16" s="42" t="s">
        <v>547</v>
      </c>
      <c r="C16" s="41" t="s">
        <v>548</v>
      </c>
      <c r="D16" s="42" t="s">
        <v>291</v>
      </c>
      <c r="E16" s="42" t="s">
        <v>544</v>
      </c>
    </row>
    <row r="17">
      <c r="A17" s="41">
        <v>13.0</v>
      </c>
      <c r="B17" s="42" t="s">
        <v>549</v>
      </c>
      <c r="C17" s="41" t="s">
        <v>550</v>
      </c>
      <c r="D17" s="42" t="s">
        <v>291</v>
      </c>
      <c r="E17" s="42" t="s">
        <v>524</v>
      </c>
    </row>
    <row r="18">
      <c r="A18" s="41">
        <v>14.0</v>
      </c>
      <c r="B18" s="42" t="s">
        <v>551</v>
      </c>
      <c r="C18" s="41" t="s">
        <v>552</v>
      </c>
      <c r="D18" s="42" t="s">
        <v>520</v>
      </c>
      <c r="E18" s="42" t="s">
        <v>541</v>
      </c>
    </row>
    <row r="19">
      <c r="A19" s="41">
        <v>15.0</v>
      </c>
      <c r="B19" s="42" t="s">
        <v>553</v>
      </c>
      <c r="C19" s="41" t="s">
        <v>554</v>
      </c>
      <c r="D19" s="42" t="s">
        <v>291</v>
      </c>
      <c r="E19" s="42" t="s">
        <v>521</v>
      </c>
    </row>
    <row r="20">
      <c r="A20" s="41">
        <v>16.0</v>
      </c>
      <c r="B20" s="42" t="s">
        <v>555</v>
      </c>
      <c r="C20" s="41" t="s">
        <v>556</v>
      </c>
      <c r="D20" s="42" t="s">
        <v>291</v>
      </c>
      <c r="E20" s="42" t="s">
        <v>527</v>
      </c>
    </row>
    <row r="21" ht="15.75" customHeight="1">
      <c r="A21" s="41">
        <v>17.0</v>
      </c>
      <c r="B21" s="42" t="s">
        <v>557</v>
      </c>
      <c r="C21" s="41" t="s">
        <v>558</v>
      </c>
      <c r="D21" s="42" t="s">
        <v>291</v>
      </c>
      <c r="E21" s="42" t="s">
        <v>524</v>
      </c>
    </row>
    <row r="22" ht="15.75" customHeight="1">
      <c r="A22" s="41">
        <v>18.0</v>
      </c>
      <c r="B22" s="42" t="s">
        <v>559</v>
      </c>
      <c r="C22" s="41" t="s">
        <v>560</v>
      </c>
      <c r="D22" s="42" t="s">
        <v>291</v>
      </c>
      <c r="E22" s="42" t="s">
        <v>521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32.0"/>
    <col customWidth="1" min="2" max="2" width="7.0"/>
    <col customWidth="1" min="3" max="3" width="24.0"/>
    <col customWidth="1" min="4" max="4" width="14.71"/>
    <col customWidth="1" min="5" max="5" width="32.0"/>
    <col customWidth="1" min="6" max="6" width="15.0"/>
    <col customWidth="1" min="7" max="7" width="17.86"/>
    <col customWidth="1" min="8" max="8" width="16.14"/>
    <col customWidth="1" min="9" max="9" width="15.71"/>
    <col customWidth="1" min="10" max="10" width="19.86"/>
    <col customWidth="1" min="11" max="11" width="32.0"/>
    <col customWidth="1" min="12" max="12" width="8.71"/>
    <col customWidth="1" min="13" max="13" width="42.0"/>
    <col customWidth="1" min="14" max="14" width="12.0"/>
    <col customWidth="1" min="15" max="26" width="8.71"/>
  </cols>
  <sheetData>
    <row r="1">
      <c r="A1" s="37" t="s">
        <v>561</v>
      </c>
    </row>
    <row r="2" ht="31.5" customHeight="1">
      <c r="A2" s="43" t="s">
        <v>562</v>
      </c>
    </row>
    <row r="3" ht="39.75" customHeight="1">
      <c r="A3" s="44" t="s">
        <v>563</v>
      </c>
    </row>
    <row r="5" ht="43.5" customHeight="1">
      <c r="A5" s="19" t="s">
        <v>61</v>
      </c>
      <c r="B5" s="19" t="s">
        <v>62</v>
      </c>
      <c r="C5" s="19" t="s">
        <v>505</v>
      </c>
      <c r="D5" s="19" t="s">
        <v>564</v>
      </c>
      <c r="E5" s="19" t="s">
        <v>565</v>
      </c>
      <c r="F5" s="19" t="s">
        <v>566</v>
      </c>
      <c r="G5" s="19" t="s">
        <v>567</v>
      </c>
      <c r="H5" s="19" t="s">
        <v>568</v>
      </c>
      <c r="I5" s="19" t="s">
        <v>569</v>
      </c>
      <c r="J5" s="19" t="s">
        <v>570</v>
      </c>
      <c r="K5" s="19" t="s">
        <v>571</v>
      </c>
      <c r="M5" s="45" t="s">
        <v>572</v>
      </c>
      <c r="N5" s="46"/>
    </row>
    <row r="6">
      <c r="A6" s="47" t="s">
        <v>209</v>
      </c>
      <c r="B6" s="48" t="s">
        <v>210</v>
      </c>
      <c r="C6" s="47" t="s">
        <v>211</v>
      </c>
      <c r="D6" s="48" t="s">
        <v>73</v>
      </c>
      <c r="E6" s="48" t="s">
        <v>573</v>
      </c>
      <c r="F6" s="48" t="s">
        <v>573</v>
      </c>
      <c r="G6" s="48" t="s">
        <v>73</v>
      </c>
      <c r="H6" s="48" t="s">
        <v>574</v>
      </c>
      <c r="I6" s="48" t="s">
        <v>190</v>
      </c>
      <c r="J6" s="48" t="s">
        <v>73</v>
      </c>
      <c r="K6" s="47" t="s">
        <v>575</v>
      </c>
      <c r="M6" s="12" t="s">
        <v>576</v>
      </c>
      <c r="N6" s="13">
        <f>COUNTIF(D6:D203,"Yes")+COUNTIF(D6:D203,"Yes (non-UN)")</f>
        <v>176</v>
      </c>
    </row>
    <row r="7">
      <c r="A7" s="49" t="s">
        <v>150</v>
      </c>
      <c r="B7" s="50" t="s">
        <v>151</v>
      </c>
      <c r="C7" s="49" t="s">
        <v>152</v>
      </c>
      <c r="D7" s="50" t="s">
        <v>190</v>
      </c>
      <c r="E7" s="50" t="s">
        <v>577</v>
      </c>
      <c r="F7" s="50" t="s">
        <v>578</v>
      </c>
      <c r="G7" s="50" t="s">
        <v>73</v>
      </c>
      <c r="H7" s="50" t="s">
        <v>574</v>
      </c>
      <c r="I7" s="50" t="s">
        <v>73</v>
      </c>
      <c r="J7" s="50" t="s">
        <v>579</v>
      </c>
      <c r="K7" s="49"/>
      <c r="M7" s="12" t="s">
        <v>580</v>
      </c>
      <c r="N7" s="13">
        <f>COUNTIF(D6:D203,"No")-4</f>
        <v>18</v>
      </c>
    </row>
    <row r="8">
      <c r="A8" s="51" t="s">
        <v>359</v>
      </c>
      <c r="B8" s="52" t="s">
        <v>360</v>
      </c>
      <c r="C8" s="51" t="s">
        <v>257</v>
      </c>
      <c r="D8" s="52" t="s">
        <v>190</v>
      </c>
      <c r="E8" s="52" t="s">
        <v>581</v>
      </c>
      <c r="F8" s="52" t="s">
        <v>578</v>
      </c>
      <c r="G8" s="52" t="s">
        <v>190</v>
      </c>
      <c r="H8" s="52" t="s">
        <v>582</v>
      </c>
      <c r="I8" s="52" t="s">
        <v>73</v>
      </c>
      <c r="J8" s="52" t="s">
        <v>73</v>
      </c>
      <c r="K8" s="51"/>
      <c r="M8" s="12" t="s">
        <v>583</v>
      </c>
      <c r="N8" s="13">
        <v>42.0</v>
      </c>
    </row>
    <row r="9">
      <c r="A9" s="47" t="s">
        <v>362</v>
      </c>
      <c r="B9" s="48" t="s">
        <v>363</v>
      </c>
      <c r="C9" s="47" t="s">
        <v>364</v>
      </c>
      <c r="D9" s="48" t="s">
        <v>73</v>
      </c>
      <c r="E9" s="48" t="s">
        <v>573</v>
      </c>
      <c r="F9" s="48" t="s">
        <v>573</v>
      </c>
      <c r="G9" s="48" t="s">
        <v>73</v>
      </c>
      <c r="H9" s="48" t="s">
        <v>584</v>
      </c>
      <c r="I9" s="48" t="s">
        <v>190</v>
      </c>
      <c r="J9" s="48" t="s">
        <v>579</v>
      </c>
      <c r="K9" s="47" t="s">
        <v>575</v>
      </c>
      <c r="M9" s="12" t="s">
        <v>585</v>
      </c>
      <c r="N9" s="13">
        <v>30.0</v>
      </c>
    </row>
    <row r="10">
      <c r="A10" s="53" t="s">
        <v>213</v>
      </c>
      <c r="B10" s="54" t="s">
        <v>214</v>
      </c>
      <c r="C10" s="53" t="s">
        <v>215</v>
      </c>
      <c r="D10" s="54" t="s">
        <v>190</v>
      </c>
      <c r="E10" s="54" t="s">
        <v>586</v>
      </c>
      <c r="F10" s="54" t="s">
        <v>587</v>
      </c>
      <c r="G10" s="54" t="s">
        <v>190</v>
      </c>
      <c r="H10" s="54" t="s">
        <v>582</v>
      </c>
      <c r="I10" s="54" t="s">
        <v>73</v>
      </c>
      <c r="J10" s="54" t="s">
        <v>73</v>
      </c>
      <c r="K10" s="53"/>
      <c r="M10" s="12" t="s">
        <v>588</v>
      </c>
      <c r="N10" s="13">
        <v>7.0</v>
      </c>
    </row>
    <row r="11">
      <c r="A11" s="42" t="s">
        <v>289</v>
      </c>
      <c r="B11" s="41" t="s">
        <v>290</v>
      </c>
      <c r="C11" s="42" t="s">
        <v>291</v>
      </c>
      <c r="D11" s="41" t="s">
        <v>190</v>
      </c>
      <c r="E11" s="41" t="s">
        <v>13</v>
      </c>
      <c r="F11" s="41" t="s">
        <v>578</v>
      </c>
      <c r="G11" s="41" t="s">
        <v>73</v>
      </c>
      <c r="H11" s="41" t="s">
        <v>584</v>
      </c>
      <c r="I11" s="41" t="s">
        <v>73</v>
      </c>
      <c r="J11" s="41" t="s">
        <v>73</v>
      </c>
      <c r="K11" s="42"/>
      <c r="M11" s="12" t="s">
        <v>589</v>
      </c>
      <c r="N11" s="13">
        <v>26.0</v>
      </c>
    </row>
    <row r="12">
      <c r="A12" s="51" t="s">
        <v>366</v>
      </c>
      <c r="B12" s="52" t="s">
        <v>367</v>
      </c>
      <c r="C12" s="51" t="s">
        <v>368</v>
      </c>
      <c r="D12" s="52" t="s">
        <v>190</v>
      </c>
      <c r="E12" s="52" t="s">
        <v>581</v>
      </c>
      <c r="F12" s="52" t="s">
        <v>578</v>
      </c>
      <c r="G12" s="52" t="s">
        <v>73</v>
      </c>
      <c r="H12" s="52" t="s">
        <v>582</v>
      </c>
      <c r="I12" s="52" t="s">
        <v>73</v>
      </c>
      <c r="J12" s="52" t="s">
        <v>590</v>
      </c>
      <c r="K12" s="51"/>
      <c r="M12" s="12" t="s">
        <v>591</v>
      </c>
      <c r="N12" s="13">
        <v>71.0</v>
      </c>
    </row>
    <row r="13">
      <c r="A13" s="53" t="s">
        <v>153</v>
      </c>
      <c r="B13" s="54" t="s">
        <v>154</v>
      </c>
      <c r="C13" s="53" t="s">
        <v>155</v>
      </c>
      <c r="D13" s="54" t="s">
        <v>190</v>
      </c>
      <c r="E13" s="54" t="s">
        <v>581</v>
      </c>
      <c r="F13" s="54" t="s">
        <v>587</v>
      </c>
      <c r="G13" s="54" t="s">
        <v>73</v>
      </c>
      <c r="H13" s="54" t="s">
        <v>574</v>
      </c>
      <c r="I13" s="54" t="s">
        <v>190</v>
      </c>
      <c r="J13" s="54" t="s">
        <v>579</v>
      </c>
      <c r="K13" s="53"/>
      <c r="M13" s="12" t="s">
        <v>592</v>
      </c>
      <c r="N13" s="13">
        <v>109.0</v>
      </c>
    </row>
    <row r="14">
      <c r="A14" s="49" t="s">
        <v>70</v>
      </c>
      <c r="B14" s="50" t="s">
        <v>71</v>
      </c>
      <c r="C14" s="49" t="s">
        <v>72</v>
      </c>
      <c r="D14" s="50" t="s">
        <v>190</v>
      </c>
      <c r="E14" s="50" t="s">
        <v>5</v>
      </c>
      <c r="F14" s="50" t="s">
        <v>578</v>
      </c>
      <c r="G14" s="50" t="s">
        <v>190</v>
      </c>
      <c r="H14" s="50" t="s">
        <v>582</v>
      </c>
      <c r="I14" s="50" t="s">
        <v>73</v>
      </c>
      <c r="J14" s="50" t="s">
        <v>73</v>
      </c>
      <c r="K14" s="49"/>
      <c r="M14" s="12" t="s">
        <v>593</v>
      </c>
      <c r="N14" s="13">
        <v>67.0</v>
      </c>
    </row>
    <row r="15">
      <c r="A15" s="49" t="s">
        <v>74</v>
      </c>
      <c r="B15" s="50" t="s">
        <v>75</v>
      </c>
      <c r="C15" s="49" t="s">
        <v>76</v>
      </c>
      <c r="D15" s="50" t="s">
        <v>190</v>
      </c>
      <c r="E15" s="50" t="s">
        <v>5</v>
      </c>
      <c r="F15" s="50" t="s">
        <v>578</v>
      </c>
      <c r="G15" s="50" t="s">
        <v>73</v>
      </c>
      <c r="H15" s="50" t="s">
        <v>574</v>
      </c>
      <c r="I15" s="50" t="s">
        <v>190</v>
      </c>
      <c r="J15" s="50" t="s">
        <v>590</v>
      </c>
      <c r="K15" s="49"/>
      <c r="M15" s="12" t="s">
        <v>594</v>
      </c>
      <c r="N15" s="13">
        <f>COUNTIF(G6:G203,"Yes")</f>
        <v>38</v>
      </c>
    </row>
    <row r="16">
      <c r="A16" s="51" t="s">
        <v>156</v>
      </c>
      <c r="B16" s="52" t="s">
        <v>157</v>
      </c>
      <c r="C16" s="51" t="s">
        <v>155</v>
      </c>
      <c r="D16" s="52" t="s">
        <v>190</v>
      </c>
      <c r="E16" s="52" t="s">
        <v>581</v>
      </c>
      <c r="F16" s="52" t="s">
        <v>578</v>
      </c>
      <c r="G16" s="52" t="s">
        <v>190</v>
      </c>
      <c r="H16" s="52" t="s">
        <v>574</v>
      </c>
      <c r="I16" s="52" t="s">
        <v>190</v>
      </c>
      <c r="J16" s="52" t="s">
        <v>73</v>
      </c>
      <c r="K16" s="51"/>
      <c r="M16" s="12" t="s">
        <v>595</v>
      </c>
      <c r="N16" s="13">
        <f>COUNTIF(I6:I203,"Yes")</f>
        <v>43</v>
      </c>
    </row>
    <row r="17">
      <c r="A17" s="42" t="s">
        <v>293</v>
      </c>
      <c r="B17" s="41" t="s">
        <v>294</v>
      </c>
      <c r="C17" s="42" t="s">
        <v>291</v>
      </c>
      <c r="D17" s="41" t="s">
        <v>190</v>
      </c>
      <c r="E17" s="41" t="s">
        <v>13</v>
      </c>
      <c r="F17" s="41" t="s">
        <v>578</v>
      </c>
      <c r="G17" s="41" t="s">
        <v>73</v>
      </c>
      <c r="H17" s="41" t="s">
        <v>574</v>
      </c>
      <c r="I17" s="41" t="s">
        <v>73</v>
      </c>
      <c r="J17" s="41" t="s">
        <v>73</v>
      </c>
      <c r="K17" s="42"/>
      <c r="M17" s="12" t="s">
        <v>596</v>
      </c>
      <c r="N17" s="13">
        <f>COUNTIF(J6:J203,"Full member")</f>
        <v>49</v>
      </c>
    </row>
    <row r="18">
      <c r="A18" s="51" t="s">
        <v>369</v>
      </c>
      <c r="B18" s="52" t="s">
        <v>370</v>
      </c>
      <c r="C18" s="51" t="s">
        <v>286</v>
      </c>
      <c r="D18" s="52" t="s">
        <v>190</v>
      </c>
      <c r="E18" s="52" t="s">
        <v>581</v>
      </c>
      <c r="F18" s="52" t="s">
        <v>578</v>
      </c>
      <c r="G18" s="52" t="s">
        <v>190</v>
      </c>
      <c r="H18" s="52" t="s">
        <v>584</v>
      </c>
      <c r="I18" s="52" t="s">
        <v>73</v>
      </c>
      <c r="J18" s="52" t="s">
        <v>73</v>
      </c>
      <c r="K18" s="51"/>
      <c r="M18" s="12" t="s">
        <v>597</v>
      </c>
      <c r="N18" s="13">
        <f>COUNTIF(J6:J203,"Associate")</f>
        <v>5</v>
      </c>
    </row>
    <row r="19">
      <c r="A19" s="55" t="s">
        <v>216</v>
      </c>
      <c r="B19" s="56" t="s">
        <v>217</v>
      </c>
      <c r="C19" s="55" t="s">
        <v>211</v>
      </c>
      <c r="D19" s="56" t="s">
        <v>190</v>
      </c>
      <c r="E19" s="56" t="s">
        <v>586</v>
      </c>
      <c r="F19" s="56" t="s">
        <v>578</v>
      </c>
      <c r="G19" s="56" t="s">
        <v>73</v>
      </c>
      <c r="H19" s="56" t="s">
        <v>574</v>
      </c>
      <c r="I19" s="56" t="s">
        <v>73</v>
      </c>
      <c r="J19" s="56" t="s">
        <v>73</v>
      </c>
      <c r="K19" s="55"/>
      <c r="M19" s="12" t="s">
        <v>598</v>
      </c>
      <c r="N19" s="13">
        <f>COUNTIF(J6:J203,"Observer")</f>
        <v>23</v>
      </c>
    </row>
    <row r="20">
      <c r="A20" s="42" t="s">
        <v>296</v>
      </c>
      <c r="B20" s="41" t="s">
        <v>297</v>
      </c>
      <c r="C20" s="42" t="s">
        <v>291</v>
      </c>
      <c r="D20" s="41" t="s">
        <v>190</v>
      </c>
      <c r="E20" s="41" t="s">
        <v>13</v>
      </c>
      <c r="F20" s="41" t="s">
        <v>578</v>
      </c>
      <c r="G20" s="41" t="s">
        <v>73</v>
      </c>
      <c r="H20" s="41" t="s">
        <v>574</v>
      </c>
      <c r="I20" s="41" t="s">
        <v>73</v>
      </c>
      <c r="J20" s="41" t="s">
        <v>73</v>
      </c>
      <c r="K20" s="42"/>
      <c r="M20" s="12" t="s">
        <v>599</v>
      </c>
      <c r="N20" s="13">
        <f>COUNTIF(J6:J203,"Withdrawn 2025")</f>
        <v>3</v>
      </c>
    </row>
    <row r="21" ht="15.75" customHeight="1">
      <c r="A21" s="53" t="s">
        <v>158</v>
      </c>
      <c r="B21" s="54" t="s">
        <v>159</v>
      </c>
      <c r="C21" s="53" t="s">
        <v>155</v>
      </c>
      <c r="D21" s="54" t="s">
        <v>190</v>
      </c>
      <c r="E21" s="54" t="s">
        <v>581</v>
      </c>
      <c r="F21" s="54" t="s">
        <v>587</v>
      </c>
      <c r="G21" s="54" t="s">
        <v>73</v>
      </c>
      <c r="H21" s="54" t="s">
        <v>574</v>
      </c>
      <c r="I21" s="54" t="s">
        <v>190</v>
      </c>
      <c r="J21" s="54" t="s">
        <v>73</v>
      </c>
      <c r="K21" s="53"/>
    </row>
    <row r="22" ht="15.75" customHeight="1">
      <c r="A22" s="49" t="s">
        <v>77</v>
      </c>
      <c r="B22" s="50" t="s">
        <v>78</v>
      </c>
      <c r="C22" s="49" t="s">
        <v>76</v>
      </c>
      <c r="D22" s="50" t="s">
        <v>190</v>
      </c>
      <c r="E22" s="50" t="s">
        <v>5</v>
      </c>
      <c r="F22" s="50" t="s">
        <v>578</v>
      </c>
      <c r="G22" s="50" t="s">
        <v>73</v>
      </c>
      <c r="H22" s="50" t="s">
        <v>574</v>
      </c>
      <c r="I22" s="50" t="s">
        <v>73</v>
      </c>
      <c r="J22" s="50" t="s">
        <v>579</v>
      </c>
      <c r="K22" s="49"/>
    </row>
    <row r="23" ht="15.75" customHeight="1">
      <c r="A23" s="42" t="s">
        <v>298</v>
      </c>
      <c r="B23" s="41" t="s">
        <v>299</v>
      </c>
      <c r="C23" s="42" t="s">
        <v>291</v>
      </c>
      <c r="D23" s="41" t="s">
        <v>190</v>
      </c>
      <c r="E23" s="41" t="s">
        <v>13</v>
      </c>
      <c r="F23" s="41" t="s">
        <v>578</v>
      </c>
      <c r="G23" s="41" t="s">
        <v>73</v>
      </c>
      <c r="H23" s="41" t="s">
        <v>574</v>
      </c>
      <c r="I23" s="41" t="s">
        <v>73</v>
      </c>
      <c r="J23" s="41" t="s">
        <v>73</v>
      </c>
      <c r="K23" s="42"/>
    </row>
    <row r="24" ht="15.75" customHeight="1">
      <c r="A24" s="55" t="s">
        <v>218</v>
      </c>
      <c r="B24" s="56" t="s">
        <v>219</v>
      </c>
      <c r="C24" s="55" t="s">
        <v>194</v>
      </c>
      <c r="D24" s="56" t="s">
        <v>190</v>
      </c>
      <c r="E24" s="56" t="s">
        <v>586</v>
      </c>
      <c r="F24" s="56" t="s">
        <v>578</v>
      </c>
      <c r="G24" s="56" t="s">
        <v>73</v>
      </c>
      <c r="H24" s="56" t="s">
        <v>574</v>
      </c>
      <c r="I24" s="56" t="s">
        <v>73</v>
      </c>
      <c r="J24" s="56" t="s">
        <v>579</v>
      </c>
      <c r="K24" s="55"/>
    </row>
    <row r="25" ht="15.75" customHeight="1">
      <c r="A25" s="47" t="s">
        <v>371</v>
      </c>
      <c r="B25" s="48" t="s">
        <v>372</v>
      </c>
      <c r="C25" s="47" t="s">
        <v>211</v>
      </c>
      <c r="D25" s="48" t="s">
        <v>73</v>
      </c>
      <c r="E25" s="48" t="s">
        <v>573</v>
      </c>
      <c r="F25" s="48" t="s">
        <v>573</v>
      </c>
      <c r="G25" s="48" t="s">
        <v>73</v>
      </c>
      <c r="H25" s="48" t="s">
        <v>574</v>
      </c>
      <c r="I25" s="48" t="s">
        <v>190</v>
      </c>
      <c r="J25" s="48" t="s">
        <v>73</v>
      </c>
      <c r="K25" s="47" t="s">
        <v>575</v>
      </c>
    </row>
    <row r="26" ht="15.75" customHeight="1">
      <c r="A26" s="53" t="s">
        <v>373</v>
      </c>
      <c r="B26" s="54" t="s">
        <v>374</v>
      </c>
      <c r="C26" s="53" t="s">
        <v>368</v>
      </c>
      <c r="D26" s="54" t="s">
        <v>190</v>
      </c>
      <c r="E26" s="54" t="s">
        <v>581</v>
      </c>
      <c r="F26" s="54" t="s">
        <v>587</v>
      </c>
      <c r="G26" s="54" t="s">
        <v>73</v>
      </c>
      <c r="H26" s="54" t="s">
        <v>574</v>
      </c>
      <c r="I26" s="54" t="s">
        <v>190</v>
      </c>
      <c r="J26" s="54" t="s">
        <v>73</v>
      </c>
      <c r="K26" s="53"/>
    </row>
    <row r="27" ht="15.75" customHeight="1">
      <c r="A27" s="49" t="s">
        <v>160</v>
      </c>
      <c r="B27" s="50" t="s">
        <v>161</v>
      </c>
      <c r="C27" s="49" t="s">
        <v>152</v>
      </c>
      <c r="D27" s="50" t="s">
        <v>190</v>
      </c>
      <c r="E27" s="50" t="s">
        <v>577</v>
      </c>
      <c r="F27" s="50" t="s">
        <v>578</v>
      </c>
      <c r="G27" s="50" t="s">
        <v>73</v>
      </c>
      <c r="H27" s="50" t="s">
        <v>574</v>
      </c>
      <c r="I27" s="50" t="s">
        <v>73</v>
      </c>
      <c r="J27" s="50" t="s">
        <v>590</v>
      </c>
      <c r="K27" s="49"/>
    </row>
    <row r="28" ht="15.75" customHeight="1">
      <c r="A28" s="51" t="s">
        <v>375</v>
      </c>
      <c r="B28" s="52" t="s">
        <v>376</v>
      </c>
      <c r="C28" s="51" t="s">
        <v>215</v>
      </c>
      <c r="D28" s="52" t="s">
        <v>190</v>
      </c>
      <c r="E28" s="52" t="s">
        <v>581</v>
      </c>
      <c r="F28" s="52" t="s">
        <v>578</v>
      </c>
      <c r="G28" s="52" t="s">
        <v>73</v>
      </c>
      <c r="H28" s="52" t="s">
        <v>582</v>
      </c>
      <c r="I28" s="52" t="s">
        <v>190</v>
      </c>
      <c r="J28" s="52" t="s">
        <v>73</v>
      </c>
      <c r="K28" s="51"/>
    </row>
    <row r="29" ht="15.75" customHeight="1">
      <c r="A29" s="51" t="s">
        <v>377</v>
      </c>
      <c r="B29" s="52" t="s">
        <v>378</v>
      </c>
      <c r="C29" s="51" t="s">
        <v>368</v>
      </c>
      <c r="D29" s="52" t="s">
        <v>190</v>
      </c>
      <c r="E29" s="52" t="s">
        <v>581</v>
      </c>
      <c r="F29" s="52" t="s">
        <v>578</v>
      </c>
      <c r="G29" s="52" t="s">
        <v>73</v>
      </c>
      <c r="H29" s="52" t="s">
        <v>582</v>
      </c>
      <c r="I29" s="52" t="s">
        <v>73</v>
      </c>
      <c r="J29" s="52" t="s">
        <v>73</v>
      </c>
      <c r="K29" s="51"/>
    </row>
    <row r="30" ht="15.75" customHeight="1">
      <c r="A30" s="51" t="s">
        <v>379</v>
      </c>
      <c r="B30" s="52" t="s">
        <v>380</v>
      </c>
      <c r="C30" s="51" t="s">
        <v>200</v>
      </c>
      <c r="D30" s="52" t="s">
        <v>190</v>
      </c>
      <c r="E30" s="52" t="s">
        <v>581</v>
      </c>
      <c r="F30" s="52" t="s">
        <v>578</v>
      </c>
      <c r="G30" s="52" t="s">
        <v>190</v>
      </c>
      <c r="H30" s="52" t="s">
        <v>574</v>
      </c>
      <c r="I30" s="52" t="s">
        <v>73</v>
      </c>
      <c r="J30" s="52" t="s">
        <v>73</v>
      </c>
      <c r="K30" s="51"/>
    </row>
    <row r="31" ht="15.75" customHeight="1">
      <c r="A31" s="49" t="s">
        <v>79</v>
      </c>
      <c r="B31" s="50" t="s">
        <v>80</v>
      </c>
      <c r="C31" s="49" t="s">
        <v>76</v>
      </c>
      <c r="D31" s="50" t="s">
        <v>190</v>
      </c>
      <c r="E31" s="50" t="s">
        <v>5</v>
      </c>
      <c r="F31" s="50" t="s">
        <v>578</v>
      </c>
      <c r="G31" s="50" t="s">
        <v>73</v>
      </c>
      <c r="H31" s="50" t="s">
        <v>574</v>
      </c>
      <c r="I31" s="50" t="s">
        <v>73</v>
      </c>
      <c r="J31" s="50" t="s">
        <v>579</v>
      </c>
      <c r="K31" s="49"/>
    </row>
    <row r="32" ht="15.75" customHeight="1">
      <c r="A32" s="47" t="s">
        <v>220</v>
      </c>
      <c r="B32" s="48" t="s">
        <v>221</v>
      </c>
      <c r="C32" s="47" t="s">
        <v>194</v>
      </c>
      <c r="D32" s="48" t="s">
        <v>73</v>
      </c>
      <c r="E32" s="48" t="s">
        <v>573</v>
      </c>
      <c r="F32" s="48" t="s">
        <v>573</v>
      </c>
      <c r="G32" s="48" t="s">
        <v>73</v>
      </c>
      <c r="H32" s="48" t="s">
        <v>582</v>
      </c>
      <c r="I32" s="48" t="s">
        <v>190</v>
      </c>
      <c r="J32" s="48" t="s">
        <v>600</v>
      </c>
      <c r="K32" s="47" t="s">
        <v>575</v>
      </c>
    </row>
    <row r="33" ht="15.75" customHeight="1">
      <c r="A33" s="47" t="s">
        <v>222</v>
      </c>
      <c r="B33" s="48" t="s">
        <v>223</v>
      </c>
      <c r="C33" s="47" t="s">
        <v>188</v>
      </c>
      <c r="D33" s="48" t="s">
        <v>73</v>
      </c>
      <c r="E33" s="48" t="s">
        <v>573</v>
      </c>
      <c r="F33" s="48" t="s">
        <v>573</v>
      </c>
      <c r="G33" s="48" t="s">
        <v>73</v>
      </c>
      <c r="H33" s="48" t="s">
        <v>574</v>
      </c>
      <c r="I33" s="48" t="s">
        <v>190</v>
      </c>
      <c r="J33" s="48" t="s">
        <v>579</v>
      </c>
      <c r="K33" s="47" t="s">
        <v>575</v>
      </c>
    </row>
    <row r="34" ht="15.75" customHeight="1">
      <c r="A34" s="42" t="s">
        <v>300</v>
      </c>
      <c r="B34" s="41" t="s">
        <v>301</v>
      </c>
      <c r="C34" s="42" t="s">
        <v>194</v>
      </c>
      <c r="D34" s="41" t="s">
        <v>190</v>
      </c>
      <c r="E34" s="41" t="s">
        <v>13</v>
      </c>
      <c r="F34" s="41" t="s">
        <v>578</v>
      </c>
      <c r="G34" s="41" t="s">
        <v>73</v>
      </c>
      <c r="H34" s="41" t="s">
        <v>574</v>
      </c>
      <c r="I34" s="41" t="s">
        <v>73</v>
      </c>
      <c r="J34" s="41" t="s">
        <v>579</v>
      </c>
      <c r="K34" s="42"/>
    </row>
    <row r="35" ht="15.75" customHeight="1">
      <c r="A35" s="53" t="s">
        <v>224</v>
      </c>
      <c r="B35" s="54" t="s">
        <v>225</v>
      </c>
      <c r="C35" s="53" t="s">
        <v>200</v>
      </c>
      <c r="D35" s="54" t="s">
        <v>190</v>
      </c>
      <c r="E35" s="54" t="s">
        <v>586</v>
      </c>
      <c r="F35" s="54" t="s">
        <v>587</v>
      </c>
      <c r="G35" s="54" t="s">
        <v>73</v>
      </c>
      <c r="H35" s="54" t="s">
        <v>574</v>
      </c>
      <c r="I35" s="54" t="s">
        <v>73</v>
      </c>
      <c r="J35" s="54" t="s">
        <v>579</v>
      </c>
      <c r="K35" s="53"/>
    </row>
    <row r="36" ht="15.75" customHeight="1">
      <c r="A36" s="53" t="s">
        <v>381</v>
      </c>
      <c r="B36" s="54" t="s">
        <v>382</v>
      </c>
      <c r="C36" s="53" t="s">
        <v>228</v>
      </c>
      <c r="D36" s="54" t="s">
        <v>190</v>
      </c>
      <c r="E36" s="54" t="s">
        <v>581</v>
      </c>
      <c r="F36" s="54" t="s">
        <v>587</v>
      </c>
      <c r="G36" s="54" t="s">
        <v>190</v>
      </c>
      <c r="H36" s="54" t="s">
        <v>574</v>
      </c>
      <c r="I36" s="54" t="s">
        <v>73</v>
      </c>
      <c r="J36" s="54" t="s">
        <v>579</v>
      </c>
      <c r="K36" s="53"/>
    </row>
    <row r="37" ht="15.75" customHeight="1">
      <c r="A37" s="49" t="s">
        <v>81</v>
      </c>
      <c r="B37" s="50" t="s">
        <v>82</v>
      </c>
      <c r="C37" s="49" t="s">
        <v>83</v>
      </c>
      <c r="D37" s="50" t="s">
        <v>190</v>
      </c>
      <c r="E37" s="50" t="s">
        <v>5</v>
      </c>
      <c r="F37" s="50" t="s">
        <v>578</v>
      </c>
      <c r="G37" s="50" t="s">
        <v>190</v>
      </c>
      <c r="H37" s="50" t="s">
        <v>582</v>
      </c>
      <c r="I37" s="50" t="s">
        <v>73</v>
      </c>
      <c r="J37" s="50" t="s">
        <v>579</v>
      </c>
      <c r="K37" s="49"/>
    </row>
    <row r="38" ht="15.75" customHeight="1">
      <c r="A38" s="47" t="s">
        <v>226</v>
      </c>
      <c r="B38" s="48" t="s">
        <v>227</v>
      </c>
      <c r="C38" s="47" t="s">
        <v>228</v>
      </c>
      <c r="D38" s="48" t="s">
        <v>73</v>
      </c>
      <c r="E38" s="48" t="s">
        <v>573</v>
      </c>
      <c r="F38" s="48" t="s">
        <v>573</v>
      </c>
      <c r="G38" s="48" t="s">
        <v>73</v>
      </c>
      <c r="H38" s="48" t="s">
        <v>574</v>
      </c>
      <c r="I38" s="48" t="s">
        <v>190</v>
      </c>
      <c r="J38" s="48" t="s">
        <v>579</v>
      </c>
      <c r="K38" s="47" t="s">
        <v>575</v>
      </c>
    </row>
    <row r="39" ht="15.75" customHeight="1">
      <c r="A39" s="47" t="s">
        <v>229</v>
      </c>
      <c r="B39" s="48" t="s">
        <v>230</v>
      </c>
      <c r="C39" s="47" t="s">
        <v>228</v>
      </c>
      <c r="D39" s="48" t="s">
        <v>73</v>
      </c>
      <c r="E39" s="48" t="s">
        <v>573</v>
      </c>
      <c r="F39" s="48" t="s">
        <v>573</v>
      </c>
      <c r="G39" s="48" t="s">
        <v>190</v>
      </c>
      <c r="H39" s="48" t="s">
        <v>574</v>
      </c>
      <c r="I39" s="48" t="s">
        <v>190</v>
      </c>
      <c r="J39" s="48" t="s">
        <v>579</v>
      </c>
      <c r="K39" s="47" t="s">
        <v>575</v>
      </c>
    </row>
    <row r="40" ht="15.75" customHeight="1">
      <c r="A40" s="51" t="s">
        <v>383</v>
      </c>
      <c r="B40" s="52" t="s">
        <v>384</v>
      </c>
      <c r="C40" s="51" t="s">
        <v>368</v>
      </c>
      <c r="D40" s="52" t="s">
        <v>190</v>
      </c>
      <c r="E40" s="52" t="s">
        <v>581</v>
      </c>
      <c r="F40" s="52" t="s">
        <v>578</v>
      </c>
      <c r="G40" s="52" t="s">
        <v>73</v>
      </c>
      <c r="H40" s="52" t="s">
        <v>582</v>
      </c>
      <c r="I40" s="52" t="s">
        <v>73</v>
      </c>
      <c r="J40" s="52" t="s">
        <v>73</v>
      </c>
      <c r="K40" s="51"/>
    </row>
    <row r="41" ht="15.75" customHeight="1">
      <c r="A41" s="51" t="s">
        <v>385</v>
      </c>
      <c r="B41" s="52" t="s">
        <v>386</v>
      </c>
      <c r="C41" s="51" t="s">
        <v>200</v>
      </c>
      <c r="D41" s="52" t="s">
        <v>190</v>
      </c>
      <c r="E41" s="52" t="s">
        <v>581</v>
      </c>
      <c r="F41" s="52" t="s">
        <v>578</v>
      </c>
      <c r="G41" s="52" t="s">
        <v>73</v>
      </c>
      <c r="H41" s="52" t="s">
        <v>582</v>
      </c>
      <c r="I41" s="52" t="s">
        <v>73</v>
      </c>
      <c r="J41" s="52" t="s">
        <v>73</v>
      </c>
      <c r="K41" s="51"/>
    </row>
    <row r="42" ht="15.75" customHeight="1">
      <c r="A42" s="51" t="s">
        <v>387</v>
      </c>
      <c r="B42" s="52" t="s">
        <v>388</v>
      </c>
      <c r="C42" s="51" t="s">
        <v>368</v>
      </c>
      <c r="D42" s="52" t="s">
        <v>190</v>
      </c>
      <c r="E42" s="52" t="s">
        <v>581</v>
      </c>
      <c r="F42" s="52" t="s">
        <v>578</v>
      </c>
      <c r="G42" s="52" t="s">
        <v>190</v>
      </c>
      <c r="H42" s="52" t="s">
        <v>582</v>
      </c>
      <c r="I42" s="52" t="s">
        <v>73</v>
      </c>
      <c r="J42" s="52" t="s">
        <v>73</v>
      </c>
      <c r="K42" s="51"/>
    </row>
    <row r="43" ht="15.75" customHeight="1">
      <c r="A43" s="53" t="s">
        <v>186</v>
      </c>
      <c r="B43" s="54" t="s">
        <v>187</v>
      </c>
      <c r="C43" s="53" t="s">
        <v>188</v>
      </c>
      <c r="D43" s="54" t="s">
        <v>190</v>
      </c>
      <c r="E43" s="54" t="s">
        <v>588</v>
      </c>
      <c r="F43" s="54" t="s">
        <v>587</v>
      </c>
      <c r="G43" s="54" t="s">
        <v>73</v>
      </c>
      <c r="H43" s="54" t="s">
        <v>574</v>
      </c>
      <c r="I43" s="54" t="s">
        <v>73</v>
      </c>
      <c r="J43" s="54" t="s">
        <v>579</v>
      </c>
      <c r="K43" s="53"/>
    </row>
    <row r="44" ht="15.75" customHeight="1">
      <c r="A44" s="53" t="s">
        <v>389</v>
      </c>
      <c r="B44" s="54" t="s">
        <v>390</v>
      </c>
      <c r="C44" s="53" t="s">
        <v>228</v>
      </c>
      <c r="D44" s="54" t="s">
        <v>190</v>
      </c>
      <c r="E44" s="54" t="s">
        <v>581</v>
      </c>
      <c r="F44" s="54" t="s">
        <v>587</v>
      </c>
      <c r="G44" s="54" t="s">
        <v>190</v>
      </c>
      <c r="H44" s="54" t="s">
        <v>574</v>
      </c>
      <c r="I44" s="54" t="s">
        <v>73</v>
      </c>
      <c r="J44" s="54" t="s">
        <v>579</v>
      </c>
      <c r="K44" s="53"/>
    </row>
    <row r="45" ht="15.75" customHeight="1">
      <c r="A45" s="42" t="s">
        <v>302</v>
      </c>
      <c r="B45" s="41" t="s">
        <v>303</v>
      </c>
      <c r="C45" s="42" t="s">
        <v>304</v>
      </c>
      <c r="D45" s="41" t="s">
        <v>601</v>
      </c>
      <c r="E45" s="41" t="s">
        <v>13</v>
      </c>
      <c r="F45" s="41" t="s">
        <v>578</v>
      </c>
      <c r="G45" s="41" t="s">
        <v>73</v>
      </c>
      <c r="H45" s="41" t="s">
        <v>574</v>
      </c>
      <c r="I45" s="41" t="s">
        <v>73</v>
      </c>
      <c r="J45" s="41" t="s">
        <v>73</v>
      </c>
      <c r="K45" s="42"/>
    </row>
    <row r="46" ht="15.75" customHeight="1">
      <c r="A46" s="51" t="s">
        <v>391</v>
      </c>
      <c r="B46" s="52" t="s">
        <v>392</v>
      </c>
      <c r="C46" s="51" t="s">
        <v>197</v>
      </c>
      <c r="D46" s="52" t="s">
        <v>190</v>
      </c>
      <c r="E46" s="52" t="s">
        <v>581</v>
      </c>
      <c r="F46" s="52" t="s">
        <v>578</v>
      </c>
      <c r="G46" s="52" t="s">
        <v>73</v>
      </c>
      <c r="H46" s="52" t="s">
        <v>574</v>
      </c>
      <c r="I46" s="52" t="s">
        <v>73</v>
      </c>
      <c r="J46" s="52" t="s">
        <v>590</v>
      </c>
      <c r="K46" s="51"/>
    </row>
    <row r="47" ht="15.75" customHeight="1">
      <c r="A47" s="49" t="s">
        <v>84</v>
      </c>
      <c r="B47" s="50" t="s">
        <v>85</v>
      </c>
      <c r="C47" s="49" t="s">
        <v>76</v>
      </c>
      <c r="D47" s="50" t="s">
        <v>190</v>
      </c>
      <c r="E47" s="50" t="s">
        <v>5</v>
      </c>
      <c r="F47" s="50" t="s">
        <v>578</v>
      </c>
      <c r="G47" s="50" t="s">
        <v>73</v>
      </c>
      <c r="H47" s="50" t="s">
        <v>574</v>
      </c>
      <c r="I47" s="50" t="s">
        <v>73</v>
      </c>
      <c r="J47" s="50" t="s">
        <v>590</v>
      </c>
      <c r="K47" s="49"/>
    </row>
    <row r="48" ht="15.75" customHeight="1">
      <c r="A48" s="53" t="s">
        <v>306</v>
      </c>
      <c r="B48" s="54" t="s">
        <v>307</v>
      </c>
      <c r="C48" s="53" t="s">
        <v>197</v>
      </c>
      <c r="D48" s="54" t="s">
        <v>190</v>
      </c>
      <c r="E48" s="54" t="s">
        <v>13</v>
      </c>
      <c r="F48" s="54" t="s">
        <v>587</v>
      </c>
      <c r="G48" s="54" t="s">
        <v>73</v>
      </c>
      <c r="H48" s="54" t="s">
        <v>574</v>
      </c>
      <c r="I48" s="54" t="s">
        <v>73</v>
      </c>
      <c r="J48" s="54" t="s">
        <v>73</v>
      </c>
      <c r="K48" s="53"/>
    </row>
    <row r="49" ht="15.75" customHeight="1">
      <c r="A49" s="49" t="s">
        <v>86</v>
      </c>
      <c r="B49" s="50" t="s">
        <v>87</v>
      </c>
      <c r="C49" s="49" t="s">
        <v>76</v>
      </c>
      <c r="D49" s="50" t="s">
        <v>190</v>
      </c>
      <c r="E49" s="50" t="s">
        <v>5</v>
      </c>
      <c r="F49" s="50" t="s">
        <v>578</v>
      </c>
      <c r="G49" s="50" t="s">
        <v>73</v>
      </c>
      <c r="H49" s="50" t="s">
        <v>574</v>
      </c>
      <c r="I49" s="50" t="s">
        <v>73</v>
      </c>
      <c r="J49" s="50" t="s">
        <v>602</v>
      </c>
      <c r="K49" s="49"/>
    </row>
    <row r="50" ht="15.75" customHeight="1">
      <c r="A50" s="49" t="s">
        <v>89</v>
      </c>
      <c r="B50" s="50" t="s">
        <v>90</v>
      </c>
      <c r="C50" s="49" t="s">
        <v>76</v>
      </c>
      <c r="D50" s="50" t="s">
        <v>190</v>
      </c>
      <c r="E50" s="50" t="s">
        <v>5</v>
      </c>
      <c r="F50" s="50" t="s">
        <v>578</v>
      </c>
      <c r="G50" s="50" t="s">
        <v>73</v>
      </c>
      <c r="H50" s="50" t="s">
        <v>574</v>
      </c>
      <c r="I50" s="50" t="s">
        <v>190</v>
      </c>
      <c r="J50" s="50" t="s">
        <v>590</v>
      </c>
      <c r="K50" s="49"/>
    </row>
    <row r="51" ht="15.75" customHeight="1">
      <c r="A51" s="53" t="s">
        <v>393</v>
      </c>
      <c r="B51" s="54" t="s">
        <v>394</v>
      </c>
      <c r="C51" s="53" t="s">
        <v>194</v>
      </c>
      <c r="D51" s="54" t="s">
        <v>190</v>
      </c>
      <c r="E51" s="54" t="s">
        <v>581</v>
      </c>
      <c r="F51" s="54" t="s">
        <v>587</v>
      </c>
      <c r="G51" s="54" t="s">
        <v>73</v>
      </c>
      <c r="H51" s="54" t="s">
        <v>582</v>
      </c>
      <c r="I51" s="54" t="s">
        <v>73</v>
      </c>
      <c r="J51" s="54" t="s">
        <v>579</v>
      </c>
      <c r="K51" s="53"/>
    </row>
    <row r="52" ht="15.75" customHeight="1">
      <c r="A52" s="53" t="s">
        <v>395</v>
      </c>
      <c r="B52" s="54" t="s">
        <v>396</v>
      </c>
      <c r="C52" s="53" t="s">
        <v>200</v>
      </c>
      <c r="D52" s="54" t="s">
        <v>190</v>
      </c>
      <c r="E52" s="54" t="s">
        <v>581</v>
      </c>
      <c r="F52" s="54" t="s">
        <v>587</v>
      </c>
      <c r="G52" s="54" t="s">
        <v>73</v>
      </c>
      <c r="H52" s="54" t="s">
        <v>574</v>
      </c>
      <c r="I52" s="54" t="s">
        <v>73</v>
      </c>
      <c r="J52" s="54" t="s">
        <v>73</v>
      </c>
      <c r="K52" s="53"/>
    </row>
    <row r="53" ht="15.75" customHeight="1">
      <c r="A53" s="53" t="s">
        <v>231</v>
      </c>
      <c r="B53" s="54" t="s">
        <v>232</v>
      </c>
      <c r="C53" s="53" t="s">
        <v>188</v>
      </c>
      <c r="D53" s="54" t="s">
        <v>190</v>
      </c>
      <c r="E53" s="54" t="s">
        <v>586</v>
      </c>
      <c r="F53" s="54" t="s">
        <v>587</v>
      </c>
      <c r="G53" s="54" t="s">
        <v>73</v>
      </c>
      <c r="H53" s="54" t="s">
        <v>574</v>
      </c>
      <c r="I53" s="54" t="s">
        <v>73</v>
      </c>
      <c r="J53" s="54" t="s">
        <v>579</v>
      </c>
      <c r="K53" s="53"/>
    </row>
    <row r="54" ht="15.75" customHeight="1">
      <c r="A54" s="49" t="s">
        <v>91</v>
      </c>
      <c r="B54" s="50" t="s">
        <v>92</v>
      </c>
      <c r="C54" s="49" t="s">
        <v>76</v>
      </c>
      <c r="D54" s="50" t="s">
        <v>190</v>
      </c>
      <c r="E54" s="50" t="s">
        <v>5</v>
      </c>
      <c r="F54" s="50" t="s">
        <v>578</v>
      </c>
      <c r="G54" s="50" t="s">
        <v>73</v>
      </c>
      <c r="H54" s="50" t="s">
        <v>582</v>
      </c>
      <c r="I54" s="50" t="s">
        <v>73</v>
      </c>
      <c r="J54" s="50" t="s">
        <v>73</v>
      </c>
      <c r="K54" s="49"/>
    </row>
    <row r="55" ht="15.75" customHeight="1">
      <c r="A55" s="53" t="s">
        <v>233</v>
      </c>
      <c r="B55" s="54" t="s">
        <v>234</v>
      </c>
      <c r="C55" s="53" t="s">
        <v>188</v>
      </c>
      <c r="D55" s="54" t="s">
        <v>190</v>
      </c>
      <c r="E55" s="54" t="s">
        <v>586</v>
      </c>
      <c r="F55" s="54" t="s">
        <v>587</v>
      </c>
      <c r="G55" s="54" t="s">
        <v>73</v>
      </c>
      <c r="H55" s="54" t="s">
        <v>574</v>
      </c>
      <c r="I55" s="54" t="s">
        <v>73</v>
      </c>
      <c r="J55" s="54" t="s">
        <v>579</v>
      </c>
      <c r="K55" s="53"/>
    </row>
    <row r="56" ht="15.75" customHeight="1">
      <c r="A56" s="53" t="s">
        <v>308</v>
      </c>
      <c r="B56" s="54" t="s">
        <v>309</v>
      </c>
      <c r="C56" s="53" t="s">
        <v>291</v>
      </c>
      <c r="D56" s="54" t="s">
        <v>190</v>
      </c>
      <c r="E56" s="54" t="s">
        <v>13</v>
      </c>
      <c r="F56" s="54" t="s">
        <v>587</v>
      </c>
      <c r="G56" s="54" t="s">
        <v>73</v>
      </c>
      <c r="H56" s="54" t="s">
        <v>584</v>
      </c>
      <c r="I56" s="54" t="s">
        <v>73</v>
      </c>
      <c r="J56" s="54" t="s">
        <v>579</v>
      </c>
      <c r="K56" s="53"/>
    </row>
    <row r="57" ht="15.75" customHeight="1">
      <c r="A57" s="53" t="s">
        <v>310</v>
      </c>
      <c r="B57" s="54" t="s">
        <v>311</v>
      </c>
      <c r="C57" s="53" t="s">
        <v>197</v>
      </c>
      <c r="D57" s="54" t="s">
        <v>190</v>
      </c>
      <c r="E57" s="54" t="s">
        <v>13</v>
      </c>
      <c r="F57" s="54" t="s">
        <v>587</v>
      </c>
      <c r="G57" s="54" t="s">
        <v>73</v>
      </c>
      <c r="H57" s="54" t="s">
        <v>574</v>
      </c>
      <c r="I57" s="54" t="s">
        <v>73</v>
      </c>
      <c r="J57" s="54" t="s">
        <v>590</v>
      </c>
      <c r="K57" s="53"/>
    </row>
    <row r="58" ht="15.75" customHeight="1">
      <c r="A58" s="51" t="s">
        <v>397</v>
      </c>
      <c r="B58" s="52" t="s">
        <v>398</v>
      </c>
      <c r="C58" s="51" t="s">
        <v>368</v>
      </c>
      <c r="D58" s="52" t="s">
        <v>190</v>
      </c>
      <c r="E58" s="52" t="s">
        <v>581</v>
      </c>
      <c r="F58" s="52" t="s">
        <v>578</v>
      </c>
      <c r="G58" s="52" t="s">
        <v>190</v>
      </c>
      <c r="H58" s="52" t="s">
        <v>574</v>
      </c>
      <c r="I58" s="52" t="s">
        <v>73</v>
      </c>
      <c r="J58" s="52" t="s">
        <v>73</v>
      </c>
      <c r="K58" s="51"/>
    </row>
    <row r="59" ht="15.75" customHeight="1">
      <c r="A59" s="51" t="s">
        <v>399</v>
      </c>
      <c r="B59" s="52" t="s">
        <v>400</v>
      </c>
      <c r="C59" s="51" t="s">
        <v>257</v>
      </c>
      <c r="D59" s="52" t="s">
        <v>190</v>
      </c>
      <c r="E59" s="52" t="s">
        <v>581</v>
      </c>
      <c r="F59" s="52" t="s">
        <v>578</v>
      </c>
      <c r="G59" s="52" t="s">
        <v>73</v>
      </c>
      <c r="H59" s="52" t="s">
        <v>582</v>
      </c>
      <c r="I59" s="52" t="s">
        <v>73</v>
      </c>
      <c r="J59" s="52" t="s">
        <v>579</v>
      </c>
      <c r="K59" s="51"/>
    </row>
    <row r="60" ht="15.75" customHeight="1">
      <c r="A60" s="51" t="s">
        <v>401</v>
      </c>
      <c r="B60" s="52" t="s">
        <v>402</v>
      </c>
      <c r="C60" s="51" t="s">
        <v>197</v>
      </c>
      <c r="D60" s="52" t="s">
        <v>190</v>
      </c>
      <c r="E60" s="52" t="s">
        <v>581</v>
      </c>
      <c r="F60" s="52" t="s">
        <v>578</v>
      </c>
      <c r="G60" s="52" t="s">
        <v>73</v>
      </c>
      <c r="H60" s="52" t="s">
        <v>574</v>
      </c>
      <c r="I60" s="52" t="s">
        <v>73</v>
      </c>
      <c r="J60" s="52" t="s">
        <v>73</v>
      </c>
      <c r="K60" s="51"/>
    </row>
    <row r="61" ht="15.75" customHeight="1">
      <c r="A61" s="53" t="s">
        <v>403</v>
      </c>
      <c r="B61" s="54" t="s">
        <v>404</v>
      </c>
      <c r="C61" s="53" t="s">
        <v>228</v>
      </c>
      <c r="D61" s="54" t="s">
        <v>190</v>
      </c>
      <c r="E61" s="54" t="s">
        <v>581</v>
      </c>
      <c r="F61" s="54" t="s">
        <v>587</v>
      </c>
      <c r="G61" s="54" t="s">
        <v>190</v>
      </c>
      <c r="H61" s="54" t="s">
        <v>574</v>
      </c>
      <c r="I61" s="54" t="s">
        <v>73</v>
      </c>
      <c r="J61" s="54" t="s">
        <v>579</v>
      </c>
      <c r="K61" s="53"/>
    </row>
    <row r="62" ht="15.75" customHeight="1">
      <c r="A62" s="53" t="s">
        <v>235</v>
      </c>
      <c r="B62" s="54" t="s">
        <v>236</v>
      </c>
      <c r="C62" s="53" t="s">
        <v>188</v>
      </c>
      <c r="D62" s="54" t="s">
        <v>190</v>
      </c>
      <c r="E62" s="54" t="s">
        <v>586</v>
      </c>
      <c r="F62" s="54" t="s">
        <v>587</v>
      </c>
      <c r="G62" s="54" t="s">
        <v>73</v>
      </c>
      <c r="H62" s="54" t="s">
        <v>574</v>
      </c>
      <c r="I62" s="54" t="s">
        <v>73</v>
      </c>
      <c r="J62" s="54" t="s">
        <v>73</v>
      </c>
      <c r="K62" s="53"/>
    </row>
    <row r="63" ht="15.75" customHeight="1">
      <c r="A63" s="49" t="s">
        <v>93</v>
      </c>
      <c r="B63" s="50" t="s">
        <v>94</v>
      </c>
      <c r="C63" s="49" t="s">
        <v>76</v>
      </c>
      <c r="D63" s="50" t="s">
        <v>190</v>
      </c>
      <c r="E63" s="50" t="s">
        <v>5</v>
      </c>
      <c r="F63" s="50" t="s">
        <v>578</v>
      </c>
      <c r="G63" s="50" t="s">
        <v>73</v>
      </c>
      <c r="H63" s="50" t="s">
        <v>574</v>
      </c>
      <c r="I63" s="50" t="s">
        <v>73</v>
      </c>
      <c r="J63" s="50" t="s">
        <v>590</v>
      </c>
      <c r="K63" s="49"/>
    </row>
    <row r="64" ht="15.75" customHeight="1">
      <c r="A64" s="47" t="s">
        <v>405</v>
      </c>
      <c r="B64" s="48" t="s">
        <v>406</v>
      </c>
      <c r="C64" s="47" t="s">
        <v>215</v>
      </c>
      <c r="D64" s="48" t="s">
        <v>73</v>
      </c>
      <c r="E64" s="48" t="s">
        <v>573</v>
      </c>
      <c r="F64" s="48" t="s">
        <v>573</v>
      </c>
      <c r="G64" s="48" t="s">
        <v>73</v>
      </c>
      <c r="H64" s="48" t="s">
        <v>574</v>
      </c>
      <c r="I64" s="48" t="s">
        <v>190</v>
      </c>
      <c r="J64" s="48" t="s">
        <v>73</v>
      </c>
      <c r="K64" s="47" t="s">
        <v>575</v>
      </c>
    </row>
    <row r="65" ht="15.75" customHeight="1">
      <c r="A65" s="53" t="s">
        <v>237</v>
      </c>
      <c r="B65" s="54" t="s">
        <v>238</v>
      </c>
      <c r="C65" s="53" t="s">
        <v>188</v>
      </c>
      <c r="D65" s="54" t="s">
        <v>190</v>
      </c>
      <c r="E65" s="54" t="s">
        <v>586</v>
      </c>
      <c r="F65" s="54" t="s">
        <v>587</v>
      </c>
      <c r="G65" s="54" t="s">
        <v>73</v>
      </c>
      <c r="H65" s="54" t="s">
        <v>582</v>
      </c>
      <c r="I65" s="54" t="s">
        <v>190</v>
      </c>
      <c r="J65" s="54" t="s">
        <v>73</v>
      </c>
      <c r="K65" s="53"/>
    </row>
    <row r="66" ht="15.75" customHeight="1">
      <c r="A66" s="47" t="s">
        <v>312</v>
      </c>
      <c r="B66" s="48" t="s">
        <v>313</v>
      </c>
      <c r="C66" s="47" t="s">
        <v>207</v>
      </c>
      <c r="D66" s="48" t="s">
        <v>73</v>
      </c>
      <c r="E66" s="48" t="s">
        <v>573</v>
      </c>
      <c r="F66" s="48" t="s">
        <v>573</v>
      </c>
      <c r="G66" s="48" t="s">
        <v>73</v>
      </c>
      <c r="H66" s="48" t="s">
        <v>574</v>
      </c>
      <c r="I66" s="48" t="s">
        <v>73</v>
      </c>
      <c r="J66" s="48" t="s">
        <v>73</v>
      </c>
      <c r="K66" s="47" t="s">
        <v>603</v>
      </c>
    </row>
    <row r="67" ht="15.75" customHeight="1">
      <c r="A67" s="53" t="s">
        <v>314</v>
      </c>
      <c r="B67" s="54" t="s">
        <v>315</v>
      </c>
      <c r="C67" s="53" t="s">
        <v>200</v>
      </c>
      <c r="D67" s="54" t="s">
        <v>190</v>
      </c>
      <c r="E67" s="54" t="s">
        <v>13</v>
      </c>
      <c r="F67" s="54" t="s">
        <v>587</v>
      </c>
      <c r="G67" s="54" t="s">
        <v>73</v>
      </c>
      <c r="H67" s="54" t="s">
        <v>574</v>
      </c>
      <c r="I67" s="54" t="s">
        <v>73</v>
      </c>
      <c r="J67" s="54" t="s">
        <v>73</v>
      </c>
      <c r="K67" s="53"/>
    </row>
    <row r="68" ht="15.75" customHeight="1">
      <c r="A68" s="49" t="s">
        <v>95</v>
      </c>
      <c r="B68" s="50" t="s">
        <v>96</v>
      </c>
      <c r="C68" s="49" t="s">
        <v>76</v>
      </c>
      <c r="D68" s="50" t="s">
        <v>190</v>
      </c>
      <c r="E68" s="50" t="s">
        <v>5</v>
      </c>
      <c r="F68" s="50" t="s">
        <v>578</v>
      </c>
      <c r="G68" s="50" t="s">
        <v>73</v>
      </c>
      <c r="H68" s="50" t="s">
        <v>582</v>
      </c>
      <c r="I68" s="50" t="s">
        <v>73</v>
      </c>
      <c r="J68" s="50" t="s">
        <v>73</v>
      </c>
      <c r="K68" s="49"/>
    </row>
    <row r="69" ht="15.75" customHeight="1">
      <c r="A69" s="49" t="s">
        <v>97</v>
      </c>
      <c r="B69" s="50" t="s">
        <v>98</v>
      </c>
      <c r="C69" s="49" t="s">
        <v>76</v>
      </c>
      <c r="D69" s="50" t="s">
        <v>190</v>
      </c>
      <c r="E69" s="50" t="s">
        <v>5</v>
      </c>
      <c r="F69" s="50" t="s">
        <v>578</v>
      </c>
      <c r="G69" s="50" t="s">
        <v>73</v>
      </c>
      <c r="H69" s="50" t="s">
        <v>582</v>
      </c>
      <c r="I69" s="50" t="s">
        <v>73</v>
      </c>
      <c r="J69" s="50" t="s">
        <v>579</v>
      </c>
      <c r="K69" s="49"/>
    </row>
    <row r="70" ht="15.75" customHeight="1">
      <c r="A70" s="51" t="s">
        <v>407</v>
      </c>
      <c r="B70" s="52" t="s">
        <v>408</v>
      </c>
      <c r="C70" s="51" t="s">
        <v>228</v>
      </c>
      <c r="D70" s="52" t="s">
        <v>190</v>
      </c>
      <c r="E70" s="52" t="s">
        <v>581</v>
      </c>
      <c r="F70" s="52" t="s">
        <v>578</v>
      </c>
      <c r="G70" s="52" t="s">
        <v>190</v>
      </c>
      <c r="H70" s="52" t="s">
        <v>574</v>
      </c>
      <c r="I70" s="52" t="s">
        <v>73</v>
      </c>
      <c r="J70" s="52" t="s">
        <v>579</v>
      </c>
      <c r="K70" s="51"/>
    </row>
    <row r="71" ht="15.75" customHeight="1">
      <c r="A71" s="53" t="s">
        <v>239</v>
      </c>
      <c r="B71" s="54" t="s">
        <v>240</v>
      </c>
      <c r="C71" s="53" t="s">
        <v>194</v>
      </c>
      <c r="D71" s="54" t="s">
        <v>190</v>
      </c>
      <c r="E71" s="54" t="s">
        <v>586</v>
      </c>
      <c r="F71" s="54" t="s">
        <v>587</v>
      </c>
      <c r="G71" s="54" t="s">
        <v>73</v>
      </c>
      <c r="H71" s="54" t="s">
        <v>574</v>
      </c>
      <c r="I71" s="54" t="s">
        <v>73</v>
      </c>
      <c r="J71" s="54" t="s">
        <v>590</v>
      </c>
      <c r="K71" s="53"/>
    </row>
    <row r="72" ht="15.75" customHeight="1">
      <c r="A72" s="51" t="s">
        <v>162</v>
      </c>
      <c r="B72" s="52" t="s">
        <v>163</v>
      </c>
      <c r="C72" s="51" t="s">
        <v>155</v>
      </c>
      <c r="D72" s="52" t="s">
        <v>190</v>
      </c>
      <c r="E72" s="52" t="s">
        <v>581</v>
      </c>
      <c r="F72" s="52" t="s">
        <v>578</v>
      </c>
      <c r="G72" s="52" t="s">
        <v>73</v>
      </c>
      <c r="H72" s="52" t="s">
        <v>574</v>
      </c>
      <c r="I72" s="52" t="s">
        <v>73</v>
      </c>
      <c r="J72" s="52" t="s">
        <v>590</v>
      </c>
      <c r="K72" s="51"/>
    </row>
    <row r="73" ht="15.75" customHeight="1">
      <c r="A73" s="49" t="s">
        <v>99</v>
      </c>
      <c r="B73" s="50" t="s">
        <v>100</v>
      </c>
      <c r="C73" s="49" t="s">
        <v>76</v>
      </c>
      <c r="D73" s="50" t="s">
        <v>190</v>
      </c>
      <c r="E73" s="50" t="s">
        <v>5</v>
      </c>
      <c r="F73" s="50" t="s">
        <v>578</v>
      </c>
      <c r="G73" s="50" t="s">
        <v>73</v>
      </c>
      <c r="H73" s="50" t="s">
        <v>582</v>
      </c>
      <c r="I73" s="50" t="s">
        <v>73</v>
      </c>
      <c r="J73" s="50" t="s">
        <v>73</v>
      </c>
      <c r="K73" s="49"/>
    </row>
    <row r="74" ht="15.75" customHeight="1">
      <c r="A74" s="51" t="s">
        <v>409</v>
      </c>
      <c r="B74" s="52" t="s">
        <v>410</v>
      </c>
      <c r="C74" s="51" t="s">
        <v>194</v>
      </c>
      <c r="D74" s="52" t="s">
        <v>190</v>
      </c>
      <c r="E74" s="52" t="s">
        <v>581</v>
      </c>
      <c r="F74" s="52" t="s">
        <v>578</v>
      </c>
      <c r="G74" s="52" t="s">
        <v>190</v>
      </c>
      <c r="H74" s="52" t="s">
        <v>582</v>
      </c>
      <c r="I74" s="52" t="s">
        <v>73</v>
      </c>
      <c r="J74" s="52" t="s">
        <v>602</v>
      </c>
      <c r="K74" s="51"/>
    </row>
    <row r="75" ht="15.75" customHeight="1">
      <c r="A75" s="49" t="s">
        <v>101</v>
      </c>
      <c r="B75" s="50" t="s">
        <v>102</v>
      </c>
      <c r="C75" s="49" t="s">
        <v>76</v>
      </c>
      <c r="D75" s="50" t="s">
        <v>190</v>
      </c>
      <c r="E75" s="50" t="s">
        <v>5</v>
      </c>
      <c r="F75" s="50" t="s">
        <v>578</v>
      </c>
      <c r="G75" s="50" t="s">
        <v>73</v>
      </c>
      <c r="H75" s="50" t="s">
        <v>582</v>
      </c>
      <c r="I75" s="50" t="s">
        <v>73</v>
      </c>
      <c r="J75" s="50" t="s">
        <v>579</v>
      </c>
      <c r="K75" s="49"/>
    </row>
    <row r="76" ht="15.75" customHeight="1">
      <c r="A76" s="53" t="s">
        <v>316</v>
      </c>
      <c r="B76" s="54" t="s">
        <v>317</v>
      </c>
      <c r="C76" s="53" t="s">
        <v>291</v>
      </c>
      <c r="D76" s="54" t="s">
        <v>190</v>
      </c>
      <c r="E76" s="54" t="s">
        <v>13</v>
      </c>
      <c r="F76" s="54" t="s">
        <v>587</v>
      </c>
      <c r="G76" s="54" t="s">
        <v>73</v>
      </c>
      <c r="H76" s="54" t="s">
        <v>584</v>
      </c>
      <c r="I76" s="54" t="s">
        <v>73</v>
      </c>
      <c r="J76" s="54" t="s">
        <v>73</v>
      </c>
      <c r="K76" s="53"/>
    </row>
    <row r="77" ht="15.75" customHeight="1">
      <c r="A77" s="51" t="s">
        <v>411</v>
      </c>
      <c r="B77" s="52" t="s">
        <v>412</v>
      </c>
      <c r="C77" s="51" t="s">
        <v>197</v>
      </c>
      <c r="D77" s="52" t="s">
        <v>190</v>
      </c>
      <c r="E77" s="52" t="s">
        <v>581</v>
      </c>
      <c r="F77" s="52" t="s">
        <v>578</v>
      </c>
      <c r="G77" s="52" t="s">
        <v>73</v>
      </c>
      <c r="H77" s="52" t="s">
        <v>574</v>
      </c>
      <c r="I77" s="52" t="s">
        <v>73</v>
      </c>
      <c r="J77" s="52" t="s">
        <v>73</v>
      </c>
      <c r="K77" s="51"/>
    </row>
    <row r="78" ht="15.75" customHeight="1">
      <c r="A78" s="53" t="s">
        <v>241</v>
      </c>
      <c r="B78" s="54" t="s">
        <v>242</v>
      </c>
      <c r="C78" s="53" t="s">
        <v>194</v>
      </c>
      <c r="D78" s="54" t="s">
        <v>190</v>
      </c>
      <c r="E78" s="54" t="s">
        <v>586</v>
      </c>
      <c r="F78" s="54" t="s">
        <v>587</v>
      </c>
      <c r="G78" s="54" t="s">
        <v>73</v>
      </c>
      <c r="H78" s="54" t="s">
        <v>574</v>
      </c>
      <c r="I78" s="54" t="s">
        <v>73</v>
      </c>
      <c r="J78" s="54" t="s">
        <v>579</v>
      </c>
      <c r="K78" s="53"/>
    </row>
    <row r="79" ht="15.75" customHeight="1">
      <c r="A79" s="53" t="s">
        <v>192</v>
      </c>
      <c r="B79" s="54" t="s">
        <v>193</v>
      </c>
      <c r="C79" s="53" t="s">
        <v>194</v>
      </c>
      <c r="D79" s="54" t="s">
        <v>190</v>
      </c>
      <c r="E79" s="54" t="s">
        <v>588</v>
      </c>
      <c r="F79" s="54" t="s">
        <v>587</v>
      </c>
      <c r="G79" s="54" t="s">
        <v>73</v>
      </c>
      <c r="H79" s="54" t="s">
        <v>574</v>
      </c>
      <c r="I79" s="54" t="s">
        <v>73</v>
      </c>
      <c r="J79" s="54" t="s">
        <v>579</v>
      </c>
      <c r="K79" s="53"/>
    </row>
    <row r="80" ht="15.75" customHeight="1">
      <c r="A80" s="53" t="s">
        <v>318</v>
      </c>
      <c r="B80" s="54" t="s">
        <v>319</v>
      </c>
      <c r="C80" s="53" t="s">
        <v>291</v>
      </c>
      <c r="D80" s="54" t="s">
        <v>190</v>
      </c>
      <c r="E80" s="54" t="s">
        <v>13</v>
      </c>
      <c r="F80" s="54" t="s">
        <v>587</v>
      </c>
      <c r="G80" s="54" t="s">
        <v>190</v>
      </c>
      <c r="H80" s="54" t="s">
        <v>574</v>
      </c>
      <c r="I80" s="54" t="s">
        <v>73</v>
      </c>
      <c r="J80" s="54" t="s">
        <v>73</v>
      </c>
      <c r="K80" s="53"/>
    </row>
    <row r="81" ht="15.75" customHeight="1">
      <c r="A81" s="53" t="s">
        <v>195</v>
      </c>
      <c r="B81" s="54" t="s">
        <v>196</v>
      </c>
      <c r="C81" s="53" t="s">
        <v>197</v>
      </c>
      <c r="D81" s="54" t="s">
        <v>190</v>
      </c>
      <c r="E81" s="54" t="s">
        <v>588</v>
      </c>
      <c r="F81" s="54" t="s">
        <v>587</v>
      </c>
      <c r="G81" s="54" t="s">
        <v>73</v>
      </c>
      <c r="H81" s="54" t="s">
        <v>574</v>
      </c>
      <c r="I81" s="54" t="s">
        <v>73</v>
      </c>
      <c r="J81" s="54" t="s">
        <v>579</v>
      </c>
      <c r="K81" s="53"/>
    </row>
    <row r="82" ht="15.75" customHeight="1">
      <c r="A82" s="51" t="s">
        <v>413</v>
      </c>
      <c r="B82" s="52" t="s">
        <v>414</v>
      </c>
      <c r="C82" s="51" t="s">
        <v>197</v>
      </c>
      <c r="D82" s="52" t="s">
        <v>190</v>
      </c>
      <c r="E82" s="52" t="s">
        <v>581</v>
      </c>
      <c r="F82" s="52" t="s">
        <v>578</v>
      </c>
      <c r="G82" s="52" t="s">
        <v>73</v>
      </c>
      <c r="H82" s="52" t="s">
        <v>574</v>
      </c>
      <c r="I82" s="52" t="s">
        <v>73</v>
      </c>
      <c r="J82" s="52" t="s">
        <v>73</v>
      </c>
      <c r="K82" s="51"/>
    </row>
    <row r="83" ht="15.75" customHeight="1">
      <c r="A83" s="47" t="s">
        <v>415</v>
      </c>
      <c r="B83" s="48" t="s">
        <v>416</v>
      </c>
      <c r="C83" s="47" t="s">
        <v>200</v>
      </c>
      <c r="D83" s="48" t="s">
        <v>73</v>
      </c>
      <c r="E83" s="48" t="s">
        <v>573</v>
      </c>
      <c r="F83" s="48" t="s">
        <v>573</v>
      </c>
      <c r="G83" s="48" t="s">
        <v>73</v>
      </c>
      <c r="H83" s="48" t="s">
        <v>574</v>
      </c>
      <c r="I83" s="48" t="s">
        <v>73</v>
      </c>
      <c r="J83" s="48" t="s">
        <v>73</v>
      </c>
      <c r="K83" s="47" t="s">
        <v>603</v>
      </c>
    </row>
    <row r="84" ht="15.75" customHeight="1">
      <c r="A84" s="49" t="s">
        <v>103</v>
      </c>
      <c r="B84" s="50" t="s">
        <v>104</v>
      </c>
      <c r="C84" s="49" t="s">
        <v>76</v>
      </c>
      <c r="D84" s="50" t="s">
        <v>190</v>
      </c>
      <c r="E84" s="50" t="s">
        <v>5</v>
      </c>
      <c r="F84" s="50" t="s">
        <v>578</v>
      </c>
      <c r="G84" s="50" t="s">
        <v>73</v>
      </c>
      <c r="H84" s="50" t="s">
        <v>574</v>
      </c>
      <c r="I84" s="50" t="s">
        <v>190</v>
      </c>
      <c r="J84" s="50" t="s">
        <v>590</v>
      </c>
      <c r="K84" s="49"/>
    </row>
    <row r="85" ht="15.75" customHeight="1">
      <c r="A85" s="49" t="s">
        <v>105</v>
      </c>
      <c r="B85" s="50" t="s">
        <v>106</v>
      </c>
      <c r="C85" s="49" t="s">
        <v>107</v>
      </c>
      <c r="D85" s="50" t="s">
        <v>190</v>
      </c>
      <c r="E85" s="50" t="s">
        <v>5</v>
      </c>
      <c r="F85" s="50" t="s">
        <v>578</v>
      </c>
      <c r="G85" s="50" t="s">
        <v>73</v>
      </c>
      <c r="H85" s="50" t="s">
        <v>582</v>
      </c>
      <c r="I85" s="50" t="s">
        <v>73</v>
      </c>
      <c r="J85" s="50" t="s">
        <v>73</v>
      </c>
      <c r="K85" s="49"/>
    </row>
    <row r="86" ht="15.75" customHeight="1">
      <c r="A86" s="51" t="s">
        <v>418</v>
      </c>
      <c r="B86" s="52" t="s">
        <v>419</v>
      </c>
      <c r="C86" s="51" t="s">
        <v>211</v>
      </c>
      <c r="D86" s="52" t="s">
        <v>190</v>
      </c>
      <c r="E86" s="52" t="s">
        <v>581</v>
      </c>
      <c r="F86" s="52" t="s">
        <v>578</v>
      </c>
      <c r="G86" s="52" t="s">
        <v>73</v>
      </c>
      <c r="H86" s="52" t="s">
        <v>582</v>
      </c>
      <c r="I86" s="52" t="s">
        <v>73</v>
      </c>
      <c r="J86" s="52" t="s">
        <v>73</v>
      </c>
      <c r="K86" s="51"/>
    </row>
    <row r="87" ht="15.75" customHeight="1">
      <c r="A87" s="51" t="s">
        <v>420</v>
      </c>
      <c r="B87" s="52" t="s">
        <v>421</v>
      </c>
      <c r="C87" s="51" t="s">
        <v>200</v>
      </c>
      <c r="D87" s="52" t="s">
        <v>190</v>
      </c>
      <c r="E87" s="52" t="s">
        <v>581</v>
      </c>
      <c r="F87" s="52" t="s">
        <v>578</v>
      </c>
      <c r="G87" s="52" t="s">
        <v>190</v>
      </c>
      <c r="H87" s="52" t="s">
        <v>582</v>
      </c>
      <c r="I87" s="52" t="s">
        <v>73</v>
      </c>
      <c r="J87" s="52" t="s">
        <v>73</v>
      </c>
      <c r="K87" s="51"/>
    </row>
    <row r="88" ht="15.75" customHeight="1">
      <c r="A88" s="51" t="s">
        <v>422</v>
      </c>
      <c r="B88" s="52" t="s">
        <v>423</v>
      </c>
      <c r="C88" s="51" t="s">
        <v>211</v>
      </c>
      <c r="D88" s="52" t="s">
        <v>190</v>
      </c>
      <c r="E88" s="52" t="s">
        <v>581</v>
      </c>
      <c r="F88" s="52" t="s">
        <v>578</v>
      </c>
      <c r="G88" s="52" t="s">
        <v>190</v>
      </c>
      <c r="H88" s="52" t="s">
        <v>574</v>
      </c>
      <c r="I88" s="52" t="s">
        <v>73</v>
      </c>
      <c r="J88" s="52" t="s">
        <v>73</v>
      </c>
      <c r="K88" s="51"/>
    </row>
    <row r="89" ht="15.75" customHeight="1">
      <c r="A89" s="53" t="s">
        <v>424</v>
      </c>
      <c r="B89" s="54" t="s">
        <v>425</v>
      </c>
      <c r="C89" s="53" t="s">
        <v>286</v>
      </c>
      <c r="D89" s="54" t="s">
        <v>190</v>
      </c>
      <c r="E89" s="54" t="s">
        <v>581</v>
      </c>
      <c r="F89" s="54" t="s">
        <v>587</v>
      </c>
      <c r="G89" s="54" t="s">
        <v>190</v>
      </c>
      <c r="H89" s="54" t="s">
        <v>574</v>
      </c>
      <c r="I89" s="54" t="s">
        <v>73</v>
      </c>
      <c r="J89" s="54" t="s">
        <v>73</v>
      </c>
      <c r="K89" s="53"/>
    </row>
    <row r="90" ht="15.75" customHeight="1">
      <c r="A90" s="49" t="s">
        <v>108</v>
      </c>
      <c r="B90" s="50" t="s">
        <v>109</v>
      </c>
      <c r="C90" s="49" t="s">
        <v>76</v>
      </c>
      <c r="D90" s="50" t="s">
        <v>190</v>
      </c>
      <c r="E90" s="50" t="s">
        <v>5</v>
      </c>
      <c r="F90" s="50" t="s">
        <v>578</v>
      </c>
      <c r="G90" s="50" t="s">
        <v>73</v>
      </c>
      <c r="H90" s="50" t="s">
        <v>582</v>
      </c>
      <c r="I90" s="50" t="s">
        <v>73</v>
      </c>
      <c r="J90" s="50" t="s">
        <v>73</v>
      </c>
      <c r="K90" s="49"/>
    </row>
    <row r="91" ht="15.75" customHeight="1">
      <c r="A91" s="51" t="s">
        <v>426</v>
      </c>
      <c r="B91" s="52" t="s">
        <v>427</v>
      </c>
      <c r="C91" s="51" t="s">
        <v>286</v>
      </c>
      <c r="D91" s="52" t="s">
        <v>190</v>
      </c>
      <c r="E91" s="52" t="s">
        <v>581</v>
      </c>
      <c r="F91" s="52" t="s">
        <v>578</v>
      </c>
      <c r="G91" s="52" t="s">
        <v>73</v>
      </c>
      <c r="H91" s="52" t="s">
        <v>574</v>
      </c>
      <c r="I91" s="52" t="s">
        <v>73</v>
      </c>
      <c r="J91" s="52" t="s">
        <v>73</v>
      </c>
      <c r="K91" s="51"/>
    </row>
    <row r="92" ht="15.75" customHeight="1">
      <c r="A92" s="49" t="s">
        <v>110</v>
      </c>
      <c r="B92" s="50" t="s">
        <v>111</v>
      </c>
      <c r="C92" s="49" t="s">
        <v>76</v>
      </c>
      <c r="D92" s="50" t="s">
        <v>190</v>
      </c>
      <c r="E92" s="50" t="s">
        <v>5</v>
      </c>
      <c r="F92" s="50" t="s">
        <v>578</v>
      </c>
      <c r="G92" s="50" t="s">
        <v>73</v>
      </c>
      <c r="H92" s="50" t="s">
        <v>582</v>
      </c>
      <c r="I92" s="50" t="s">
        <v>73</v>
      </c>
      <c r="J92" s="50" t="s">
        <v>73</v>
      </c>
      <c r="K92" s="49"/>
    </row>
    <row r="93" ht="15.75" customHeight="1">
      <c r="A93" s="42" t="s">
        <v>320</v>
      </c>
      <c r="B93" s="41" t="s">
        <v>321</v>
      </c>
      <c r="C93" s="42" t="s">
        <v>291</v>
      </c>
      <c r="D93" s="41" t="s">
        <v>190</v>
      </c>
      <c r="E93" s="41" t="s">
        <v>13</v>
      </c>
      <c r="F93" s="41" t="s">
        <v>578</v>
      </c>
      <c r="G93" s="41" t="s">
        <v>73</v>
      </c>
      <c r="H93" s="41" t="s">
        <v>574</v>
      </c>
      <c r="I93" s="41" t="s">
        <v>73</v>
      </c>
      <c r="J93" s="41" t="s">
        <v>73</v>
      </c>
      <c r="K93" s="42"/>
    </row>
    <row r="94" ht="15.75" customHeight="1">
      <c r="A94" s="49" t="s">
        <v>112</v>
      </c>
      <c r="B94" s="50" t="s">
        <v>113</v>
      </c>
      <c r="C94" s="49" t="s">
        <v>72</v>
      </c>
      <c r="D94" s="50" t="s">
        <v>190</v>
      </c>
      <c r="E94" s="50" t="s">
        <v>5</v>
      </c>
      <c r="F94" s="50" t="s">
        <v>578</v>
      </c>
      <c r="G94" s="50" t="s">
        <v>73</v>
      </c>
      <c r="H94" s="50" t="s">
        <v>582</v>
      </c>
      <c r="I94" s="50" t="s">
        <v>73</v>
      </c>
      <c r="J94" s="50" t="s">
        <v>73</v>
      </c>
      <c r="K94" s="49"/>
    </row>
    <row r="95" ht="15.75" customHeight="1">
      <c r="A95" s="51" t="s">
        <v>428</v>
      </c>
      <c r="B95" s="52" t="s">
        <v>429</v>
      </c>
      <c r="C95" s="51" t="s">
        <v>286</v>
      </c>
      <c r="D95" s="52" t="s">
        <v>190</v>
      </c>
      <c r="E95" s="52" t="s">
        <v>581</v>
      </c>
      <c r="F95" s="52" t="s">
        <v>578</v>
      </c>
      <c r="G95" s="52" t="s">
        <v>73</v>
      </c>
      <c r="H95" s="52" t="s">
        <v>574</v>
      </c>
      <c r="I95" s="52" t="s">
        <v>73</v>
      </c>
      <c r="J95" s="52" t="s">
        <v>73</v>
      </c>
      <c r="K95" s="51"/>
    </row>
    <row r="96" ht="15.75" customHeight="1">
      <c r="A96" s="51" t="s">
        <v>164</v>
      </c>
      <c r="B96" s="52" t="s">
        <v>165</v>
      </c>
      <c r="C96" s="51" t="s">
        <v>155</v>
      </c>
      <c r="D96" s="52" t="s">
        <v>190</v>
      </c>
      <c r="E96" s="52" t="s">
        <v>581</v>
      </c>
      <c r="F96" s="52" t="s">
        <v>578</v>
      </c>
      <c r="G96" s="52" t="s">
        <v>190</v>
      </c>
      <c r="H96" s="52" t="s">
        <v>582</v>
      </c>
      <c r="I96" s="52" t="s">
        <v>190</v>
      </c>
      <c r="J96" s="52" t="s">
        <v>73</v>
      </c>
      <c r="K96" s="51"/>
    </row>
    <row r="97" ht="15.75" customHeight="1">
      <c r="A97" s="51" t="s">
        <v>430</v>
      </c>
      <c r="B97" s="52" t="s">
        <v>431</v>
      </c>
      <c r="C97" s="51" t="s">
        <v>188</v>
      </c>
      <c r="D97" s="52" t="s">
        <v>190</v>
      </c>
      <c r="E97" s="52" t="s">
        <v>581</v>
      </c>
      <c r="F97" s="52" t="s">
        <v>578</v>
      </c>
      <c r="G97" s="52" t="s">
        <v>73</v>
      </c>
      <c r="H97" s="52" t="s">
        <v>582</v>
      </c>
      <c r="I97" s="52" t="s">
        <v>73</v>
      </c>
      <c r="J97" s="52" t="s">
        <v>73</v>
      </c>
      <c r="K97" s="51"/>
    </row>
    <row r="98" ht="15.75" customHeight="1">
      <c r="A98" s="53" t="s">
        <v>198</v>
      </c>
      <c r="B98" s="54" t="s">
        <v>199</v>
      </c>
      <c r="C98" s="53" t="s">
        <v>200</v>
      </c>
      <c r="D98" s="54" t="s">
        <v>190</v>
      </c>
      <c r="E98" s="54" t="s">
        <v>588</v>
      </c>
      <c r="F98" s="54" t="s">
        <v>587</v>
      </c>
      <c r="G98" s="54" t="s">
        <v>73</v>
      </c>
      <c r="H98" s="54" t="s">
        <v>584</v>
      </c>
      <c r="I98" s="54" t="s">
        <v>73</v>
      </c>
      <c r="J98" s="54" t="s">
        <v>73</v>
      </c>
      <c r="K98" s="53"/>
    </row>
    <row r="99" ht="15.75" customHeight="1">
      <c r="A99" s="51" t="s">
        <v>432</v>
      </c>
      <c r="B99" s="52" t="s">
        <v>433</v>
      </c>
      <c r="C99" s="51" t="s">
        <v>286</v>
      </c>
      <c r="D99" s="52" t="s">
        <v>190</v>
      </c>
      <c r="E99" s="52" t="s">
        <v>581</v>
      </c>
      <c r="F99" s="52" t="s">
        <v>578</v>
      </c>
      <c r="G99" s="52" t="s">
        <v>190</v>
      </c>
      <c r="H99" s="52" t="s">
        <v>574</v>
      </c>
      <c r="I99" s="52" t="s">
        <v>73</v>
      </c>
      <c r="J99" s="52" t="s">
        <v>73</v>
      </c>
      <c r="K99" s="51"/>
    </row>
    <row r="100" ht="15.75" customHeight="1">
      <c r="A100" s="53" t="s">
        <v>166</v>
      </c>
      <c r="B100" s="54" t="s">
        <v>167</v>
      </c>
      <c r="C100" s="53" t="s">
        <v>155</v>
      </c>
      <c r="D100" s="54" t="s">
        <v>190</v>
      </c>
      <c r="E100" s="54" t="s">
        <v>581</v>
      </c>
      <c r="F100" s="54" t="s">
        <v>587</v>
      </c>
      <c r="G100" s="54" t="s">
        <v>73</v>
      </c>
      <c r="H100" s="54" t="s">
        <v>574</v>
      </c>
      <c r="I100" s="54" t="s">
        <v>190</v>
      </c>
      <c r="J100" s="54" t="s">
        <v>73</v>
      </c>
      <c r="K100" s="53"/>
    </row>
    <row r="101" ht="15.75" customHeight="1">
      <c r="A101" s="47" t="s">
        <v>243</v>
      </c>
      <c r="B101" s="48" t="s">
        <v>244</v>
      </c>
      <c r="C101" s="47" t="s">
        <v>200</v>
      </c>
      <c r="D101" s="48" t="s">
        <v>73</v>
      </c>
      <c r="E101" s="48" t="s">
        <v>573</v>
      </c>
      <c r="F101" s="48" t="s">
        <v>573</v>
      </c>
      <c r="G101" s="48" t="s">
        <v>73</v>
      </c>
      <c r="H101" s="48" t="s">
        <v>574</v>
      </c>
      <c r="I101" s="48" t="s">
        <v>190</v>
      </c>
      <c r="J101" s="48" t="s">
        <v>579</v>
      </c>
      <c r="K101" s="47" t="s">
        <v>575</v>
      </c>
    </row>
    <row r="102" ht="15.75" customHeight="1">
      <c r="A102" s="49" t="s">
        <v>114</v>
      </c>
      <c r="B102" s="50" t="s">
        <v>115</v>
      </c>
      <c r="C102" s="49" t="s">
        <v>76</v>
      </c>
      <c r="D102" s="50" t="s">
        <v>190</v>
      </c>
      <c r="E102" s="50" t="s">
        <v>5</v>
      </c>
      <c r="F102" s="50" t="s">
        <v>578</v>
      </c>
      <c r="G102" s="50" t="s">
        <v>73</v>
      </c>
      <c r="H102" s="50" t="s">
        <v>574</v>
      </c>
      <c r="I102" s="50" t="s">
        <v>73</v>
      </c>
      <c r="J102" s="50" t="s">
        <v>590</v>
      </c>
      <c r="K102" s="49"/>
    </row>
    <row r="103" ht="15.75" customHeight="1">
      <c r="A103" s="53" t="s">
        <v>434</v>
      </c>
      <c r="B103" s="54" t="s">
        <v>435</v>
      </c>
      <c r="C103" s="53" t="s">
        <v>286</v>
      </c>
      <c r="D103" s="54" t="s">
        <v>190</v>
      </c>
      <c r="E103" s="54" t="s">
        <v>581</v>
      </c>
      <c r="F103" s="54" t="s">
        <v>587</v>
      </c>
      <c r="G103" s="54" t="s">
        <v>73</v>
      </c>
      <c r="H103" s="54" t="s">
        <v>574</v>
      </c>
      <c r="I103" s="54" t="s">
        <v>73</v>
      </c>
      <c r="J103" s="54" t="s">
        <v>579</v>
      </c>
      <c r="K103" s="53"/>
    </row>
    <row r="104" ht="15.75" customHeight="1">
      <c r="A104" s="47" t="s">
        <v>245</v>
      </c>
      <c r="B104" s="48" t="s">
        <v>246</v>
      </c>
      <c r="C104" s="47" t="s">
        <v>215</v>
      </c>
      <c r="D104" s="48" t="s">
        <v>73</v>
      </c>
      <c r="E104" s="48" t="s">
        <v>573</v>
      </c>
      <c r="F104" s="48" t="s">
        <v>573</v>
      </c>
      <c r="G104" s="48" t="s">
        <v>73</v>
      </c>
      <c r="H104" s="48" t="s">
        <v>574</v>
      </c>
      <c r="I104" s="48" t="s">
        <v>190</v>
      </c>
      <c r="J104" s="48" t="s">
        <v>73</v>
      </c>
      <c r="K104" s="47" t="s">
        <v>575</v>
      </c>
    </row>
    <row r="105" ht="15.75" customHeight="1">
      <c r="A105" s="55" t="s">
        <v>247</v>
      </c>
      <c r="B105" s="56" t="s">
        <v>248</v>
      </c>
      <c r="C105" s="55" t="s">
        <v>194</v>
      </c>
      <c r="D105" s="56" t="s">
        <v>190</v>
      </c>
      <c r="E105" s="56" t="s">
        <v>586</v>
      </c>
      <c r="F105" s="56" t="s">
        <v>578</v>
      </c>
      <c r="G105" s="56" t="s">
        <v>73</v>
      </c>
      <c r="H105" s="56" t="s">
        <v>574</v>
      </c>
      <c r="I105" s="56" t="s">
        <v>73</v>
      </c>
      <c r="J105" s="56" t="s">
        <v>73</v>
      </c>
      <c r="K105" s="55"/>
    </row>
    <row r="106" ht="15.75" customHeight="1">
      <c r="A106" s="53" t="s">
        <v>436</v>
      </c>
      <c r="B106" s="54" t="s">
        <v>437</v>
      </c>
      <c r="C106" s="53" t="s">
        <v>257</v>
      </c>
      <c r="D106" s="54" t="s">
        <v>190</v>
      </c>
      <c r="E106" s="54" t="s">
        <v>581</v>
      </c>
      <c r="F106" s="54" t="s">
        <v>587</v>
      </c>
      <c r="G106" s="54" t="s">
        <v>190</v>
      </c>
      <c r="H106" s="54" t="s">
        <v>574</v>
      </c>
      <c r="I106" s="54" t="s">
        <v>73</v>
      </c>
      <c r="J106" s="54" t="s">
        <v>73</v>
      </c>
      <c r="K106" s="53"/>
    </row>
    <row r="107" ht="15.75" customHeight="1">
      <c r="A107" s="47" t="s">
        <v>438</v>
      </c>
      <c r="B107" s="48" t="s">
        <v>439</v>
      </c>
      <c r="C107" s="47" t="s">
        <v>364</v>
      </c>
      <c r="D107" s="48" t="s">
        <v>73</v>
      </c>
      <c r="E107" s="48" t="s">
        <v>573</v>
      </c>
      <c r="F107" s="48" t="s">
        <v>573</v>
      </c>
      <c r="G107" s="48" t="s">
        <v>73</v>
      </c>
      <c r="H107" s="48" t="s">
        <v>584</v>
      </c>
      <c r="I107" s="48" t="s">
        <v>190</v>
      </c>
      <c r="J107" s="48" t="s">
        <v>73</v>
      </c>
      <c r="K107" s="47" t="s">
        <v>575</v>
      </c>
    </row>
    <row r="108" ht="15.75" customHeight="1">
      <c r="A108" s="49" t="s">
        <v>116</v>
      </c>
      <c r="B108" s="50" t="s">
        <v>117</v>
      </c>
      <c r="C108" s="49" t="s">
        <v>76</v>
      </c>
      <c r="D108" s="50" t="s">
        <v>190</v>
      </c>
      <c r="E108" s="50" t="s">
        <v>5</v>
      </c>
      <c r="F108" s="50" t="s">
        <v>578</v>
      </c>
      <c r="G108" s="50" t="s">
        <v>73</v>
      </c>
      <c r="H108" s="50" t="s">
        <v>574</v>
      </c>
      <c r="I108" s="50" t="s">
        <v>73</v>
      </c>
      <c r="J108" s="50" t="s">
        <v>590</v>
      </c>
      <c r="K108" s="49"/>
    </row>
    <row r="109" ht="15.75" customHeight="1">
      <c r="A109" s="49" t="s">
        <v>118</v>
      </c>
      <c r="B109" s="50" t="s">
        <v>119</v>
      </c>
      <c r="C109" s="49" t="s">
        <v>76</v>
      </c>
      <c r="D109" s="50" t="s">
        <v>190</v>
      </c>
      <c r="E109" s="50" t="s">
        <v>5</v>
      </c>
      <c r="F109" s="50" t="s">
        <v>578</v>
      </c>
      <c r="G109" s="50" t="s">
        <v>73</v>
      </c>
      <c r="H109" s="50" t="s">
        <v>574</v>
      </c>
      <c r="I109" s="50" t="s">
        <v>190</v>
      </c>
      <c r="J109" s="50" t="s">
        <v>579</v>
      </c>
      <c r="K109" s="49"/>
    </row>
    <row r="110" ht="15.75" customHeight="1">
      <c r="A110" s="53" t="s">
        <v>249</v>
      </c>
      <c r="B110" s="54" t="s">
        <v>250</v>
      </c>
      <c r="C110" s="53" t="s">
        <v>188</v>
      </c>
      <c r="D110" s="54" t="s">
        <v>190</v>
      </c>
      <c r="E110" s="54" t="s">
        <v>586</v>
      </c>
      <c r="F110" s="54" t="s">
        <v>587</v>
      </c>
      <c r="G110" s="54" t="s">
        <v>73</v>
      </c>
      <c r="H110" s="54" t="s">
        <v>582</v>
      </c>
      <c r="I110" s="54" t="s">
        <v>73</v>
      </c>
      <c r="J110" s="54" t="s">
        <v>579</v>
      </c>
      <c r="K110" s="53"/>
    </row>
    <row r="111" ht="15.75" customHeight="1">
      <c r="A111" s="53" t="s">
        <v>251</v>
      </c>
      <c r="B111" s="54" t="s">
        <v>252</v>
      </c>
      <c r="C111" s="53" t="s">
        <v>215</v>
      </c>
      <c r="D111" s="54" t="s">
        <v>190</v>
      </c>
      <c r="E111" s="54" t="s">
        <v>586</v>
      </c>
      <c r="F111" s="54" t="s">
        <v>587</v>
      </c>
      <c r="G111" s="54" t="s">
        <v>73</v>
      </c>
      <c r="H111" s="54" t="s">
        <v>574</v>
      </c>
      <c r="I111" s="54" t="s">
        <v>190</v>
      </c>
      <c r="J111" s="54" t="s">
        <v>73</v>
      </c>
      <c r="K111" s="53"/>
    </row>
    <row r="112" ht="15.75" customHeight="1">
      <c r="A112" s="51" t="s">
        <v>440</v>
      </c>
      <c r="B112" s="52" t="s">
        <v>441</v>
      </c>
      <c r="C112" s="51" t="s">
        <v>200</v>
      </c>
      <c r="D112" s="52" t="s">
        <v>190</v>
      </c>
      <c r="E112" s="52" t="s">
        <v>581</v>
      </c>
      <c r="F112" s="52" t="s">
        <v>578</v>
      </c>
      <c r="G112" s="52" t="s">
        <v>73</v>
      </c>
      <c r="H112" s="52" t="s">
        <v>582</v>
      </c>
      <c r="I112" s="52" t="s">
        <v>73</v>
      </c>
      <c r="J112" s="52" t="s">
        <v>73</v>
      </c>
      <c r="K112" s="51"/>
    </row>
    <row r="113" ht="15.75" customHeight="1">
      <c r="A113" s="53" t="s">
        <v>322</v>
      </c>
      <c r="B113" s="54" t="s">
        <v>323</v>
      </c>
      <c r="C113" s="53" t="s">
        <v>211</v>
      </c>
      <c r="D113" s="54" t="s">
        <v>190</v>
      </c>
      <c r="E113" s="54" t="s">
        <v>13</v>
      </c>
      <c r="F113" s="54" t="s">
        <v>587</v>
      </c>
      <c r="G113" s="54" t="s">
        <v>73</v>
      </c>
      <c r="H113" s="54" t="s">
        <v>584</v>
      </c>
      <c r="I113" s="54" t="s">
        <v>73</v>
      </c>
      <c r="J113" s="54" t="s">
        <v>73</v>
      </c>
      <c r="K113" s="53"/>
    </row>
    <row r="114" ht="15.75" customHeight="1">
      <c r="A114" s="47" t="s">
        <v>253</v>
      </c>
      <c r="B114" s="48" t="s">
        <v>254</v>
      </c>
      <c r="C114" s="47" t="s">
        <v>194</v>
      </c>
      <c r="D114" s="48" t="s">
        <v>73</v>
      </c>
      <c r="E114" s="48" t="s">
        <v>573</v>
      </c>
      <c r="F114" s="48" t="s">
        <v>573</v>
      </c>
      <c r="G114" s="48" t="s">
        <v>73</v>
      </c>
      <c r="H114" s="48" t="s">
        <v>582</v>
      </c>
      <c r="I114" s="48" t="s">
        <v>190</v>
      </c>
      <c r="J114" s="48" t="s">
        <v>600</v>
      </c>
      <c r="K114" s="47" t="s">
        <v>575</v>
      </c>
    </row>
    <row r="115" ht="15.75" customHeight="1">
      <c r="A115" s="49" t="s">
        <v>120</v>
      </c>
      <c r="B115" s="50" t="s">
        <v>121</v>
      </c>
      <c r="C115" s="49" t="s">
        <v>76</v>
      </c>
      <c r="D115" s="50" t="s">
        <v>190</v>
      </c>
      <c r="E115" s="50" t="s">
        <v>5</v>
      </c>
      <c r="F115" s="50" t="s">
        <v>578</v>
      </c>
      <c r="G115" s="50" t="s">
        <v>73</v>
      </c>
      <c r="H115" s="50" t="s">
        <v>574</v>
      </c>
      <c r="I115" s="50" t="s">
        <v>73</v>
      </c>
      <c r="J115" s="50" t="s">
        <v>590</v>
      </c>
      <c r="K115" s="49"/>
    </row>
    <row r="116" ht="15.75" customHeight="1">
      <c r="A116" s="42" t="s">
        <v>324</v>
      </c>
      <c r="B116" s="41" t="s">
        <v>325</v>
      </c>
      <c r="C116" s="42" t="s">
        <v>207</v>
      </c>
      <c r="D116" s="41" t="s">
        <v>190</v>
      </c>
      <c r="E116" s="41" t="s">
        <v>13</v>
      </c>
      <c r="F116" s="41" t="s">
        <v>578</v>
      </c>
      <c r="G116" s="41" t="s">
        <v>73</v>
      </c>
      <c r="H116" s="41" t="s">
        <v>584</v>
      </c>
      <c r="I116" s="41" t="s">
        <v>73</v>
      </c>
      <c r="J116" s="41" t="s">
        <v>73</v>
      </c>
      <c r="K116" s="42"/>
    </row>
    <row r="117" ht="15.75" customHeight="1">
      <c r="A117" s="53" t="s">
        <v>255</v>
      </c>
      <c r="B117" s="54" t="s">
        <v>256</v>
      </c>
      <c r="C117" s="53" t="s">
        <v>257</v>
      </c>
      <c r="D117" s="54" t="s">
        <v>190</v>
      </c>
      <c r="E117" s="54" t="s">
        <v>586</v>
      </c>
      <c r="F117" s="54" t="s">
        <v>587</v>
      </c>
      <c r="G117" s="54" t="s">
        <v>73</v>
      </c>
      <c r="H117" s="54" t="s">
        <v>574</v>
      </c>
      <c r="I117" s="54" t="s">
        <v>73</v>
      </c>
      <c r="J117" s="54" t="s">
        <v>579</v>
      </c>
      <c r="K117" s="53"/>
    </row>
    <row r="118" ht="15.75" customHeight="1">
      <c r="A118" s="42" t="s">
        <v>326</v>
      </c>
      <c r="B118" s="41" t="s">
        <v>327</v>
      </c>
      <c r="C118" s="42" t="s">
        <v>215</v>
      </c>
      <c r="D118" s="41" t="s">
        <v>190</v>
      </c>
      <c r="E118" s="41" t="s">
        <v>13</v>
      </c>
      <c r="F118" s="41" t="s">
        <v>578</v>
      </c>
      <c r="G118" s="41" t="s">
        <v>73</v>
      </c>
      <c r="H118" s="41" t="s">
        <v>574</v>
      </c>
      <c r="I118" s="41" t="s">
        <v>73</v>
      </c>
      <c r="J118" s="41" t="s">
        <v>579</v>
      </c>
      <c r="K118" s="42"/>
    </row>
    <row r="119" ht="15.75" customHeight="1">
      <c r="A119" s="51" t="s">
        <v>442</v>
      </c>
      <c r="B119" s="52" t="s">
        <v>443</v>
      </c>
      <c r="C119" s="51" t="s">
        <v>197</v>
      </c>
      <c r="D119" s="52" t="s">
        <v>190</v>
      </c>
      <c r="E119" s="52" t="s">
        <v>581</v>
      </c>
      <c r="F119" s="52" t="s">
        <v>578</v>
      </c>
      <c r="G119" s="52" t="s">
        <v>73</v>
      </c>
      <c r="H119" s="52" t="s">
        <v>582</v>
      </c>
      <c r="I119" s="52" t="s">
        <v>73</v>
      </c>
      <c r="J119" s="52" t="s">
        <v>590</v>
      </c>
      <c r="K119" s="51"/>
    </row>
    <row r="120" ht="15.75" customHeight="1">
      <c r="A120" s="51" t="s">
        <v>444</v>
      </c>
      <c r="B120" s="52" t="s">
        <v>445</v>
      </c>
      <c r="C120" s="51" t="s">
        <v>364</v>
      </c>
      <c r="D120" s="52" t="s">
        <v>190</v>
      </c>
      <c r="E120" s="52" t="s">
        <v>581</v>
      </c>
      <c r="F120" s="52" t="s">
        <v>578</v>
      </c>
      <c r="G120" s="52" t="s">
        <v>73</v>
      </c>
      <c r="H120" s="52" t="s">
        <v>584</v>
      </c>
      <c r="I120" s="52" t="s">
        <v>73</v>
      </c>
      <c r="J120" s="52" t="s">
        <v>579</v>
      </c>
      <c r="K120" s="51"/>
    </row>
    <row r="121" ht="15.75" customHeight="1">
      <c r="A121" s="53" t="s">
        <v>447</v>
      </c>
      <c r="B121" s="54" t="s">
        <v>448</v>
      </c>
      <c r="C121" s="53" t="s">
        <v>200</v>
      </c>
      <c r="D121" s="54" t="s">
        <v>190</v>
      </c>
      <c r="E121" s="54" t="s">
        <v>581</v>
      </c>
      <c r="F121" s="54" t="s">
        <v>587</v>
      </c>
      <c r="G121" s="54" t="s">
        <v>190</v>
      </c>
      <c r="H121" s="54" t="s">
        <v>582</v>
      </c>
      <c r="I121" s="54" t="s">
        <v>190</v>
      </c>
      <c r="J121" s="54" t="s">
        <v>73</v>
      </c>
      <c r="K121" s="53"/>
    </row>
    <row r="122" ht="15.75" customHeight="1">
      <c r="A122" s="49" t="s">
        <v>168</v>
      </c>
      <c r="B122" s="50" t="s">
        <v>169</v>
      </c>
      <c r="C122" s="49" t="s">
        <v>152</v>
      </c>
      <c r="D122" s="50" t="s">
        <v>190</v>
      </c>
      <c r="E122" s="50" t="s">
        <v>577</v>
      </c>
      <c r="F122" s="50" t="s">
        <v>578</v>
      </c>
      <c r="G122" s="50" t="s">
        <v>73</v>
      </c>
      <c r="H122" s="50" t="s">
        <v>574</v>
      </c>
      <c r="I122" s="50" t="s">
        <v>73</v>
      </c>
      <c r="J122" s="50" t="s">
        <v>590</v>
      </c>
      <c r="K122" s="49"/>
    </row>
    <row r="123" ht="15.75" customHeight="1">
      <c r="A123" s="51" t="s">
        <v>449</v>
      </c>
      <c r="B123" s="52" t="s">
        <v>450</v>
      </c>
      <c r="C123" s="51" t="s">
        <v>257</v>
      </c>
      <c r="D123" s="52" t="s">
        <v>190</v>
      </c>
      <c r="E123" s="52" t="s">
        <v>581</v>
      </c>
      <c r="F123" s="52" t="s">
        <v>578</v>
      </c>
      <c r="G123" s="52" t="s">
        <v>73</v>
      </c>
      <c r="H123" s="52" t="s">
        <v>582</v>
      </c>
      <c r="I123" s="52" t="s">
        <v>73</v>
      </c>
      <c r="J123" s="52" t="s">
        <v>579</v>
      </c>
      <c r="K123" s="51"/>
    </row>
    <row r="124" ht="15.75" customHeight="1">
      <c r="A124" s="53" t="s">
        <v>258</v>
      </c>
      <c r="B124" s="54" t="s">
        <v>259</v>
      </c>
      <c r="C124" s="53" t="s">
        <v>215</v>
      </c>
      <c r="D124" s="54" t="s">
        <v>190</v>
      </c>
      <c r="E124" s="54" t="s">
        <v>586</v>
      </c>
      <c r="F124" s="54" t="s">
        <v>587</v>
      </c>
      <c r="G124" s="54" t="s">
        <v>190</v>
      </c>
      <c r="H124" s="54" t="s">
        <v>582</v>
      </c>
      <c r="I124" s="54" t="s">
        <v>73</v>
      </c>
      <c r="J124" s="54" t="s">
        <v>590</v>
      </c>
      <c r="K124" s="53"/>
    </row>
    <row r="125" ht="15.75" customHeight="1">
      <c r="A125" s="53" t="s">
        <v>260</v>
      </c>
      <c r="B125" s="54" t="s">
        <v>261</v>
      </c>
      <c r="C125" s="53" t="s">
        <v>200</v>
      </c>
      <c r="D125" s="54" t="s">
        <v>190</v>
      </c>
      <c r="E125" s="54" t="s">
        <v>586</v>
      </c>
      <c r="F125" s="54" t="s">
        <v>587</v>
      </c>
      <c r="G125" s="54" t="s">
        <v>73</v>
      </c>
      <c r="H125" s="54" t="s">
        <v>574</v>
      </c>
      <c r="I125" s="54" t="s">
        <v>73</v>
      </c>
      <c r="J125" s="54" t="s">
        <v>73</v>
      </c>
      <c r="K125" s="53"/>
    </row>
    <row r="126" ht="15.75" customHeight="1">
      <c r="A126" s="53" t="s">
        <v>451</v>
      </c>
      <c r="B126" s="54" t="s">
        <v>452</v>
      </c>
      <c r="C126" s="53" t="s">
        <v>215</v>
      </c>
      <c r="D126" s="54" t="s">
        <v>190</v>
      </c>
      <c r="E126" s="54" t="s">
        <v>581</v>
      </c>
      <c r="F126" s="54" t="s">
        <v>587</v>
      </c>
      <c r="G126" s="54" t="s">
        <v>73</v>
      </c>
      <c r="H126" s="54" t="s">
        <v>582</v>
      </c>
      <c r="I126" s="54" t="s">
        <v>73</v>
      </c>
      <c r="J126" s="54" t="s">
        <v>73</v>
      </c>
      <c r="K126" s="53"/>
    </row>
    <row r="127" ht="15.75" customHeight="1">
      <c r="A127" s="53" t="s">
        <v>328</v>
      </c>
      <c r="B127" s="54" t="s">
        <v>329</v>
      </c>
      <c r="C127" s="53" t="s">
        <v>207</v>
      </c>
      <c r="D127" s="54" t="s">
        <v>190</v>
      </c>
      <c r="E127" s="54" t="s">
        <v>13</v>
      </c>
      <c r="F127" s="54" t="s">
        <v>587</v>
      </c>
      <c r="G127" s="54" t="s">
        <v>73</v>
      </c>
      <c r="H127" s="54" t="s">
        <v>584</v>
      </c>
      <c r="I127" s="54" t="s">
        <v>73</v>
      </c>
      <c r="J127" s="54" t="s">
        <v>73</v>
      </c>
      <c r="K127" s="53"/>
    </row>
    <row r="128" ht="15.75" customHeight="1">
      <c r="A128" s="55" t="s">
        <v>262</v>
      </c>
      <c r="B128" s="56" t="s">
        <v>263</v>
      </c>
      <c r="C128" s="55" t="s">
        <v>211</v>
      </c>
      <c r="D128" s="56" t="s">
        <v>190</v>
      </c>
      <c r="E128" s="56" t="s">
        <v>586</v>
      </c>
      <c r="F128" s="56" t="s">
        <v>578</v>
      </c>
      <c r="G128" s="56" t="s">
        <v>73</v>
      </c>
      <c r="H128" s="56" t="s">
        <v>574</v>
      </c>
      <c r="I128" s="56" t="s">
        <v>190</v>
      </c>
      <c r="J128" s="56" t="s">
        <v>73</v>
      </c>
      <c r="K128" s="55"/>
    </row>
    <row r="129" ht="15.75" customHeight="1">
      <c r="A129" s="49" t="s">
        <v>122</v>
      </c>
      <c r="B129" s="50" t="s">
        <v>123</v>
      </c>
      <c r="C129" s="49" t="s">
        <v>76</v>
      </c>
      <c r="D129" s="50" t="s">
        <v>190</v>
      </c>
      <c r="E129" s="50" t="s">
        <v>5</v>
      </c>
      <c r="F129" s="50" t="s">
        <v>578</v>
      </c>
      <c r="G129" s="50" t="s">
        <v>73</v>
      </c>
      <c r="H129" s="50" t="s">
        <v>582</v>
      </c>
      <c r="I129" s="50" t="s">
        <v>73</v>
      </c>
      <c r="J129" s="50" t="s">
        <v>73</v>
      </c>
      <c r="K129" s="49"/>
    </row>
    <row r="130" ht="15.75" customHeight="1">
      <c r="A130" s="49" t="s">
        <v>124</v>
      </c>
      <c r="B130" s="50" t="s">
        <v>125</v>
      </c>
      <c r="C130" s="49" t="s">
        <v>72</v>
      </c>
      <c r="D130" s="50" t="s">
        <v>190</v>
      </c>
      <c r="E130" s="50" t="s">
        <v>5</v>
      </c>
      <c r="F130" s="50" t="s">
        <v>578</v>
      </c>
      <c r="G130" s="50" t="s">
        <v>73</v>
      </c>
      <c r="H130" s="50" t="s">
        <v>582</v>
      </c>
      <c r="I130" s="50" t="s">
        <v>73</v>
      </c>
      <c r="J130" s="50" t="s">
        <v>73</v>
      </c>
      <c r="K130" s="49"/>
    </row>
    <row r="131" ht="15.75" customHeight="1">
      <c r="A131" s="51" t="s">
        <v>453</v>
      </c>
      <c r="B131" s="52" t="s">
        <v>454</v>
      </c>
      <c r="C131" s="51" t="s">
        <v>197</v>
      </c>
      <c r="D131" s="52" t="s">
        <v>190</v>
      </c>
      <c r="E131" s="52" t="s">
        <v>581</v>
      </c>
      <c r="F131" s="52" t="s">
        <v>578</v>
      </c>
      <c r="G131" s="52" t="s">
        <v>73</v>
      </c>
      <c r="H131" s="52" t="s">
        <v>574</v>
      </c>
      <c r="I131" s="52" t="s">
        <v>73</v>
      </c>
      <c r="J131" s="52" t="s">
        <v>73</v>
      </c>
      <c r="K131" s="51"/>
    </row>
    <row r="132" ht="15.75" customHeight="1">
      <c r="A132" s="47" t="s">
        <v>264</v>
      </c>
      <c r="B132" s="48" t="s">
        <v>265</v>
      </c>
      <c r="C132" s="47" t="s">
        <v>194</v>
      </c>
      <c r="D132" s="48" t="s">
        <v>73</v>
      </c>
      <c r="E132" s="48" t="s">
        <v>573</v>
      </c>
      <c r="F132" s="48" t="s">
        <v>573</v>
      </c>
      <c r="G132" s="48" t="s">
        <v>73</v>
      </c>
      <c r="H132" s="48" t="s">
        <v>582</v>
      </c>
      <c r="I132" s="48" t="s">
        <v>190</v>
      </c>
      <c r="J132" s="48" t="s">
        <v>600</v>
      </c>
      <c r="K132" s="47" t="s">
        <v>575</v>
      </c>
    </row>
    <row r="133" ht="15.75" customHeight="1">
      <c r="A133" s="51" t="s">
        <v>455</v>
      </c>
      <c r="B133" s="52" t="s">
        <v>456</v>
      </c>
      <c r="C133" s="51" t="s">
        <v>194</v>
      </c>
      <c r="D133" s="52" t="s">
        <v>190</v>
      </c>
      <c r="E133" s="52" t="s">
        <v>581</v>
      </c>
      <c r="F133" s="52" t="s">
        <v>578</v>
      </c>
      <c r="G133" s="52" t="s">
        <v>190</v>
      </c>
      <c r="H133" s="52" t="s">
        <v>582</v>
      </c>
      <c r="I133" s="52" t="s">
        <v>73</v>
      </c>
      <c r="J133" s="52" t="s">
        <v>73</v>
      </c>
      <c r="K133" s="51"/>
    </row>
    <row r="134" ht="15.75" customHeight="1">
      <c r="A134" s="47" t="s">
        <v>330</v>
      </c>
      <c r="B134" s="48" t="s">
        <v>331</v>
      </c>
      <c r="C134" s="47" t="s">
        <v>304</v>
      </c>
      <c r="D134" s="48" t="s">
        <v>73</v>
      </c>
      <c r="E134" s="48" t="s">
        <v>573</v>
      </c>
      <c r="F134" s="48" t="s">
        <v>573</v>
      </c>
      <c r="G134" s="48" t="s">
        <v>73</v>
      </c>
      <c r="H134" s="48" t="s">
        <v>574</v>
      </c>
      <c r="I134" s="48" t="s">
        <v>73</v>
      </c>
      <c r="J134" s="48" t="s">
        <v>73</v>
      </c>
      <c r="K134" s="47" t="s">
        <v>604</v>
      </c>
    </row>
    <row r="135" ht="15.75" customHeight="1">
      <c r="A135" s="49" t="s">
        <v>170</v>
      </c>
      <c r="B135" s="50" t="s">
        <v>171</v>
      </c>
      <c r="C135" s="49" t="s">
        <v>152</v>
      </c>
      <c r="D135" s="50" t="s">
        <v>190</v>
      </c>
      <c r="E135" s="50" t="s">
        <v>577</v>
      </c>
      <c r="F135" s="50" t="s">
        <v>578</v>
      </c>
      <c r="G135" s="50" t="s">
        <v>73</v>
      </c>
      <c r="H135" s="50" t="s">
        <v>574</v>
      </c>
      <c r="I135" s="50" t="s">
        <v>190</v>
      </c>
      <c r="J135" s="50" t="s">
        <v>579</v>
      </c>
      <c r="K135" s="49"/>
    </row>
    <row r="136" ht="15.75" customHeight="1">
      <c r="A136" s="49" t="s">
        <v>126</v>
      </c>
      <c r="B136" s="50" t="s">
        <v>127</v>
      </c>
      <c r="C136" s="49" t="s">
        <v>107</v>
      </c>
      <c r="D136" s="50" t="s">
        <v>190</v>
      </c>
      <c r="E136" s="50" t="s">
        <v>5</v>
      </c>
      <c r="F136" s="50" t="s">
        <v>578</v>
      </c>
      <c r="G136" s="50" t="s">
        <v>190</v>
      </c>
      <c r="H136" s="50" t="s">
        <v>582</v>
      </c>
      <c r="I136" s="50" t="s">
        <v>73</v>
      </c>
      <c r="J136" s="50" t="s">
        <v>73</v>
      </c>
      <c r="K136" s="49"/>
    </row>
    <row r="137" ht="15.75" customHeight="1">
      <c r="A137" s="51" t="s">
        <v>457</v>
      </c>
      <c r="B137" s="52" t="s">
        <v>458</v>
      </c>
      <c r="C137" s="51" t="s">
        <v>286</v>
      </c>
      <c r="D137" s="52" t="s">
        <v>190</v>
      </c>
      <c r="E137" s="52" t="s">
        <v>581</v>
      </c>
      <c r="F137" s="52" t="s">
        <v>578</v>
      </c>
      <c r="G137" s="52" t="s">
        <v>190</v>
      </c>
      <c r="H137" s="52" t="s">
        <v>582</v>
      </c>
      <c r="I137" s="52" t="s">
        <v>73</v>
      </c>
      <c r="J137" s="52" t="s">
        <v>73</v>
      </c>
      <c r="K137" s="51"/>
    </row>
    <row r="138" ht="15.75" customHeight="1">
      <c r="A138" s="51" t="s">
        <v>459</v>
      </c>
      <c r="B138" s="52" t="s">
        <v>460</v>
      </c>
      <c r="C138" s="51" t="s">
        <v>211</v>
      </c>
      <c r="D138" s="52" t="s">
        <v>190</v>
      </c>
      <c r="E138" s="52" t="s">
        <v>581</v>
      </c>
      <c r="F138" s="52" t="s">
        <v>578</v>
      </c>
      <c r="G138" s="52" t="s">
        <v>73</v>
      </c>
      <c r="H138" s="52" t="s">
        <v>574</v>
      </c>
      <c r="I138" s="52" t="s">
        <v>73</v>
      </c>
      <c r="J138" s="52" t="s">
        <v>73</v>
      </c>
      <c r="K138" s="51"/>
    </row>
    <row r="139" ht="15.75" customHeight="1">
      <c r="A139" s="53" t="s">
        <v>332</v>
      </c>
      <c r="B139" s="54" t="s">
        <v>333</v>
      </c>
      <c r="C139" s="53" t="s">
        <v>207</v>
      </c>
      <c r="D139" s="54" t="s">
        <v>190</v>
      </c>
      <c r="E139" s="54" t="s">
        <v>13</v>
      </c>
      <c r="F139" s="54" t="s">
        <v>587</v>
      </c>
      <c r="G139" s="54" t="s">
        <v>73</v>
      </c>
      <c r="H139" s="54" t="s">
        <v>584</v>
      </c>
      <c r="I139" s="54" t="s">
        <v>73</v>
      </c>
      <c r="J139" s="54" t="s">
        <v>73</v>
      </c>
      <c r="K139" s="53"/>
    </row>
    <row r="140" ht="15.75" customHeight="1">
      <c r="A140" s="51" t="s">
        <v>461</v>
      </c>
      <c r="B140" s="52" t="s">
        <v>462</v>
      </c>
      <c r="C140" s="51" t="s">
        <v>197</v>
      </c>
      <c r="D140" s="52" t="s">
        <v>190</v>
      </c>
      <c r="E140" s="52" t="s">
        <v>581</v>
      </c>
      <c r="F140" s="52" t="s">
        <v>578</v>
      </c>
      <c r="G140" s="52" t="s">
        <v>73</v>
      </c>
      <c r="H140" s="52" t="s">
        <v>574</v>
      </c>
      <c r="I140" s="52" t="s">
        <v>73</v>
      </c>
      <c r="J140" s="52" t="s">
        <v>73</v>
      </c>
      <c r="K140" s="51"/>
    </row>
    <row r="141" ht="15.75" customHeight="1">
      <c r="A141" s="53" t="s">
        <v>334</v>
      </c>
      <c r="B141" s="54" t="s">
        <v>335</v>
      </c>
      <c r="C141" s="53" t="s">
        <v>200</v>
      </c>
      <c r="D141" s="54" t="s">
        <v>190</v>
      </c>
      <c r="E141" s="54" t="s">
        <v>13</v>
      </c>
      <c r="F141" s="54" t="s">
        <v>587</v>
      </c>
      <c r="G141" s="54" t="s">
        <v>190</v>
      </c>
      <c r="H141" s="54" t="s">
        <v>574</v>
      </c>
      <c r="I141" s="54" t="s">
        <v>73</v>
      </c>
      <c r="J141" s="54" t="s">
        <v>73</v>
      </c>
      <c r="K141" s="53"/>
    </row>
    <row r="142" ht="15.75" customHeight="1">
      <c r="A142" s="51" t="s">
        <v>463</v>
      </c>
      <c r="B142" s="52" t="s">
        <v>464</v>
      </c>
      <c r="C142" s="51" t="s">
        <v>368</v>
      </c>
      <c r="D142" s="52" t="s">
        <v>190</v>
      </c>
      <c r="E142" s="52" t="s">
        <v>581</v>
      </c>
      <c r="F142" s="52" t="s">
        <v>578</v>
      </c>
      <c r="G142" s="52" t="s">
        <v>73</v>
      </c>
      <c r="H142" s="52" t="s">
        <v>574</v>
      </c>
      <c r="I142" s="52" t="s">
        <v>190</v>
      </c>
      <c r="J142" s="52" t="s">
        <v>73</v>
      </c>
      <c r="K142" s="51"/>
    </row>
    <row r="143" ht="15.75" customHeight="1">
      <c r="A143" s="51" t="s">
        <v>465</v>
      </c>
      <c r="B143" s="52" t="s">
        <v>466</v>
      </c>
      <c r="C143" s="51" t="s">
        <v>368</v>
      </c>
      <c r="D143" s="52" t="s">
        <v>190</v>
      </c>
      <c r="E143" s="52" t="s">
        <v>581</v>
      </c>
      <c r="F143" s="52" t="s">
        <v>578</v>
      </c>
      <c r="G143" s="52" t="s">
        <v>73</v>
      </c>
      <c r="H143" s="52" t="s">
        <v>582</v>
      </c>
      <c r="I143" s="52" t="s">
        <v>73</v>
      </c>
      <c r="J143" s="52" t="s">
        <v>73</v>
      </c>
      <c r="K143" s="51"/>
    </row>
    <row r="144" ht="15.75" customHeight="1">
      <c r="A144" s="51" t="s">
        <v>467</v>
      </c>
      <c r="B144" s="52" t="s">
        <v>468</v>
      </c>
      <c r="C144" s="51" t="s">
        <v>200</v>
      </c>
      <c r="D144" s="52" t="s">
        <v>190</v>
      </c>
      <c r="E144" s="52" t="s">
        <v>581</v>
      </c>
      <c r="F144" s="52" t="s">
        <v>578</v>
      </c>
      <c r="G144" s="52" t="s">
        <v>73</v>
      </c>
      <c r="H144" s="52" t="s">
        <v>582</v>
      </c>
      <c r="I144" s="52" t="s">
        <v>73</v>
      </c>
      <c r="J144" s="52" t="s">
        <v>73</v>
      </c>
      <c r="K144" s="51"/>
    </row>
    <row r="145" ht="15.75" customHeight="1">
      <c r="A145" s="49" t="s">
        <v>128</v>
      </c>
      <c r="B145" s="50" t="s">
        <v>129</v>
      </c>
      <c r="C145" s="49" t="s">
        <v>76</v>
      </c>
      <c r="D145" s="50" t="s">
        <v>190</v>
      </c>
      <c r="E145" s="50" t="s">
        <v>5</v>
      </c>
      <c r="F145" s="50" t="s">
        <v>578</v>
      </c>
      <c r="G145" s="50" t="s">
        <v>73</v>
      </c>
      <c r="H145" s="50" t="s">
        <v>574</v>
      </c>
      <c r="I145" s="50" t="s">
        <v>73</v>
      </c>
      <c r="J145" s="50" t="s">
        <v>590</v>
      </c>
      <c r="K145" s="49"/>
    </row>
    <row r="146" ht="15.75" customHeight="1">
      <c r="A146" s="49" t="s">
        <v>130</v>
      </c>
      <c r="B146" s="50" t="s">
        <v>131</v>
      </c>
      <c r="C146" s="49" t="s">
        <v>76</v>
      </c>
      <c r="D146" s="50" t="s">
        <v>190</v>
      </c>
      <c r="E146" s="50" t="s">
        <v>5</v>
      </c>
      <c r="F146" s="50" t="s">
        <v>578</v>
      </c>
      <c r="G146" s="50" t="s">
        <v>73</v>
      </c>
      <c r="H146" s="50" t="s">
        <v>582</v>
      </c>
      <c r="I146" s="50" t="s">
        <v>73</v>
      </c>
      <c r="J146" s="50" t="s">
        <v>73</v>
      </c>
      <c r="K146" s="49"/>
    </row>
    <row r="147" ht="15.75" customHeight="1">
      <c r="A147" s="51" t="s">
        <v>469</v>
      </c>
      <c r="B147" s="52" t="s">
        <v>470</v>
      </c>
      <c r="C147" s="51" t="s">
        <v>286</v>
      </c>
      <c r="D147" s="52" t="s">
        <v>190</v>
      </c>
      <c r="E147" s="52" t="s">
        <v>581</v>
      </c>
      <c r="F147" s="52" t="s">
        <v>578</v>
      </c>
      <c r="G147" s="52" t="s">
        <v>190</v>
      </c>
      <c r="H147" s="52" t="s">
        <v>574</v>
      </c>
      <c r="I147" s="52" t="s">
        <v>73</v>
      </c>
      <c r="J147" s="52" t="s">
        <v>602</v>
      </c>
      <c r="K147" s="51"/>
    </row>
    <row r="148" ht="15.75" customHeight="1">
      <c r="A148" s="49" t="s">
        <v>132</v>
      </c>
      <c r="B148" s="50" t="s">
        <v>133</v>
      </c>
      <c r="C148" s="49" t="s">
        <v>72</v>
      </c>
      <c r="D148" s="50" t="s">
        <v>190</v>
      </c>
      <c r="E148" s="50" t="s">
        <v>5</v>
      </c>
      <c r="F148" s="50" t="s">
        <v>578</v>
      </c>
      <c r="G148" s="50" t="s">
        <v>73</v>
      </c>
      <c r="H148" s="50" t="s">
        <v>582</v>
      </c>
      <c r="I148" s="50" t="s">
        <v>73</v>
      </c>
      <c r="J148" s="50" t="s">
        <v>590</v>
      </c>
      <c r="K148" s="49"/>
    </row>
    <row r="149" ht="15.75" customHeight="1">
      <c r="A149" s="53" t="s">
        <v>172</v>
      </c>
      <c r="B149" s="54" t="s">
        <v>173</v>
      </c>
      <c r="C149" s="53" t="s">
        <v>155</v>
      </c>
      <c r="D149" s="54" t="s">
        <v>190</v>
      </c>
      <c r="E149" s="54" t="s">
        <v>581</v>
      </c>
      <c r="F149" s="54" t="s">
        <v>587</v>
      </c>
      <c r="G149" s="54" t="s">
        <v>73</v>
      </c>
      <c r="H149" s="54" t="s">
        <v>574</v>
      </c>
      <c r="I149" s="54" t="s">
        <v>190</v>
      </c>
      <c r="J149" s="54" t="s">
        <v>579</v>
      </c>
      <c r="K149" s="53"/>
    </row>
    <row r="150" ht="15.75" customHeight="1">
      <c r="A150" s="49" t="s">
        <v>134</v>
      </c>
      <c r="B150" s="50" t="s">
        <v>135</v>
      </c>
      <c r="C150" s="49" t="s">
        <v>76</v>
      </c>
      <c r="D150" s="50" t="s">
        <v>190</v>
      </c>
      <c r="E150" s="50" t="s">
        <v>5</v>
      </c>
      <c r="F150" s="50" t="s">
        <v>578</v>
      </c>
      <c r="G150" s="50" t="s">
        <v>73</v>
      </c>
      <c r="H150" s="50" t="s">
        <v>574</v>
      </c>
      <c r="I150" s="50" t="s">
        <v>73</v>
      </c>
      <c r="J150" s="50" t="s">
        <v>579</v>
      </c>
      <c r="K150" s="49"/>
    </row>
    <row r="151" ht="15.75" customHeight="1">
      <c r="A151" s="51" t="s">
        <v>174</v>
      </c>
      <c r="B151" s="52" t="s">
        <v>175</v>
      </c>
      <c r="C151" s="51" t="s">
        <v>155</v>
      </c>
      <c r="D151" s="52" t="s">
        <v>190</v>
      </c>
      <c r="E151" s="52" t="s">
        <v>581</v>
      </c>
      <c r="F151" s="52" t="s">
        <v>578</v>
      </c>
      <c r="G151" s="52" t="s">
        <v>190</v>
      </c>
      <c r="H151" s="52" t="s">
        <v>582</v>
      </c>
      <c r="I151" s="52" t="s">
        <v>73</v>
      </c>
      <c r="J151" s="52" t="s">
        <v>73</v>
      </c>
      <c r="K151" s="51"/>
    </row>
    <row r="152" ht="15.75" customHeight="1">
      <c r="A152" s="47" t="s">
        <v>266</v>
      </c>
      <c r="B152" s="48" t="s">
        <v>267</v>
      </c>
      <c r="C152" s="47" t="s">
        <v>188</v>
      </c>
      <c r="D152" s="48" t="s">
        <v>73</v>
      </c>
      <c r="E152" s="48" t="s">
        <v>573</v>
      </c>
      <c r="F152" s="48" t="s">
        <v>573</v>
      </c>
      <c r="G152" s="48" t="s">
        <v>73</v>
      </c>
      <c r="H152" s="48" t="s">
        <v>574</v>
      </c>
      <c r="I152" s="48" t="s">
        <v>190</v>
      </c>
      <c r="J152" s="48" t="s">
        <v>579</v>
      </c>
      <c r="K152" s="47" t="s">
        <v>575</v>
      </c>
    </row>
    <row r="153" ht="15.75" customHeight="1">
      <c r="A153" s="53" t="s">
        <v>336</v>
      </c>
      <c r="B153" s="54" t="s">
        <v>337</v>
      </c>
      <c r="C153" s="53" t="s">
        <v>291</v>
      </c>
      <c r="D153" s="54" t="s">
        <v>190</v>
      </c>
      <c r="E153" s="54" t="s">
        <v>13</v>
      </c>
      <c r="F153" s="54" t="s">
        <v>587</v>
      </c>
      <c r="G153" s="54" t="s">
        <v>73</v>
      </c>
      <c r="H153" s="54" t="s">
        <v>584</v>
      </c>
      <c r="I153" s="54" t="s">
        <v>73</v>
      </c>
      <c r="J153" s="54" t="s">
        <v>73</v>
      </c>
      <c r="K153" s="53"/>
    </row>
    <row r="154" ht="15.75" customHeight="1">
      <c r="A154" s="53" t="s">
        <v>338</v>
      </c>
      <c r="B154" s="54" t="s">
        <v>339</v>
      </c>
      <c r="C154" s="53" t="s">
        <v>291</v>
      </c>
      <c r="D154" s="54" t="s">
        <v>190</v>
      </c>
      <c r="E154" s="54" t="s">
        <v>13</v>
      </c>
      <c r="F154" s="54" t="s">
        <v>587</v>
      </c>
      <c r="G154" s="54" t="s">
        <v>73</v>
      </c>
      <c r="H154" s="54" t="s">
        <v>584</v>
      </c>
      <c r="I154" s="54" t="s">
        <v>73</v>
      </c>
      <c r="J154" s="54" t="s">
        <v>579</v>
      </c>
      <c r="K154" s="53"/>
    </row>
    <row r="155" ht="15.75" customHeight="1">
      <c r="A155" s="53" t="s">
        <v>340</v>
      </c>
      <c r="B155" s="54" t="s">
        <v>341</v>
      </c>
      <c r="C155" s="53" t="s">
        <v>291</v>
      </c>
      <c r="D155" s="54" t="s">
        <v>190</v>
      </c>
      <c r="E155" s="54" t="s">
        <v>13</v>
      </c>
      <c r="F155" s="54" t="s">
        <v>587</v>
      </c>
      <c r="G155" s="54" t="s">
        <v>73</v>
      </c>
      <c r="H155" s="54" t="s">
        <v>584</v>
      </c>
      <c r="I155" s="54" t="s">
        <v>73</v>
      </c>
      <c r="J155" s="54" t="s">
        <v>73</v>
      </c>
      <c r="K155" s="53"/>
    </row>
    <row r="156" ht="15.75" customHeight="1">
      <c r="A156" s="53" t="s">
        <v>342</v>
      </c>
      <c r="B156" s="54" t="s">
        <v>343</v>
      </c>
      <c r="C156" s="53" t="s">
        <v>200</v>
      </c>
      <c r="D156" s="54" t="s">
        <v>190</v>
      </c>
      <c r="E156" s="54" t="s">
        <v>13</v>
      </c>
      <c r="F156" s="54" t="s">
        <v>587</v>
      </c>
      <c r="G156" s="54" t="s">
        <v>73</v>
      </c>
      <c r="H156" s="54" t="s">
        <v>574</v>
      </c>
      <c r="I156" s="54" t="s">
        <v>73</v>
      </c>
      <c r="J156" s="54" t="s">
        <v>73</v>
      </c>
      <c r="K156" s="53"/>
    </row>
    <row r="157" ht="15.75" customHeight="1">
      <c r="A157" s="51" t="s">
        <v>471</v>
      </c>
      <c r="B157" s="52" t="s">
        <v>472</v>
      </c>
      <c r="C157" s="51" t="s">
        <v>364</v>
      </c>
      <c r="D157" s="52" t="s">
        <v>190</v>
      </c>
      <c r="E157" s="52" t="s">
        <v>581</v>
      </c>
      <c r="F157" s="52" t="s">
        <v>578</v>
      </c>
      <c r="G157" s="52" t="s">
        <v>73</v>
      </c>
      <c r="H157" s="52" t="s">
        <v>584</v>
      </c>
      <c r="I157" s="52" t="s">
        <v>190</v>
      </c>
      <c r="J157" s="52" t="s">
        <v>73</v>
      </c>
      <c r="K157" s="51"/>
    </row>
    <row r="158" ht="15.75" customHeight="1">
      <c r="A158" s="53" t="s">
        <v>344</v>
      </c>
      <c r="B158" s="54" t="s">
        <v>345</v>
      </c>
      <c r="C158" s="53" t="s">
        <v>228</v>
      </c>
      <c r="D158" s="54" t="s">
        <v>190</v>
      </c>
      <c r="E158" s="54" t="s">
        <v>13</v>
      </c>
      <c r="F158" s="54" t="s">
        <v>587</v>
      </c>
      <c r="G158" s="54" t="s">
        <v>73</v>
      </c>
      <c r="H158" s="54" t="s">
        <v>584</v>
      </c>
      <c r="I158" s="54" t="s">
        <v>73</v>
      </c>
      <c r="J158" s="54" t="s">
        <v>579</v>
      </c>
      <c r="K158" s="53"/>
    </row>
    <row r="159" ht="15.75" customHeight="1">
      <c r="A159" s="51" t="s">
        <v>474</v>
      </c>
      <c r="B159" s="52" t="s">
        <v>475</v>
      </c>
      <c r="C159" s="51" t="s">
        <v>286</v>
      </c>
      <c r="D159" s="52" t="s">
        <v>190</v>
      </c>
      <c r="E159" s="52" t="s">
        <v>581</v>
      </c>
      <c r="F159" s="52" t="s">
        <v>578</v>
      </c>
      <c r="G159" s="52" t="s">
        <v>190</v>
      </c>
      <c r="H159" s="52" t="s">
        <v>582</v>
      </c>
      <c r="I159" s="52" t="s">
        <v>73</v>
      </c>
      <c r="J159" s="52" t="s">
        <v>73</v>
      </c>
      <c r="K159" s="51"/>
    </row>
    <row r="160" ht="15.75" customHeight="1">
      <c r="A160" s="53" t="s">
        <v>268</v>
      </c>
      <c r="B160" s="54" t="s">
        <v>269</v>
      </c>
      <c r="C160" s="53" t="s">
        <v>194</v>
      </c>
      <c r="D160" s="54" t="s">
        <v>190</v>
      </c>
      <c r="E160" s="54" t="s">
        <v>586</v>
      </c>
      <c r="F160" s="54" t="s">
        <v>587</v>
      </c>
      <c r="G160" s="54" t="s">
        <v>73</v>
      </c>
      <c r="H160" s="54" t="s">
        <v>582</v>
      </c>
      <c r="I160" s="54" t="s">
        <v>73</v>
      </c>
      <c r="J160" s="54" t="s">
        <v>579</v>
      </c>
      <c r="K160" s="53"/>
    </row>
    <row r="161" ht="15.75" customHeight="1">
      <c r="A161" s="49" t="s">
        <v>176</v>
      </c>
      <c r="B161" s="50" t="s">
        <v>177</v>
      </c>
      <c r="C161" s="49" t="s">
        <v>152</v>
      </c>
      <c r="D161" s="50" t="s">
        <v>190</v>
      </c>
      <c r="E161" s="50" t="s">
        <v>577</v>
      </c>
      <c r="F161" s="50" t="s">
        <v>578</v>
      </c>
      <c r="G161" s="50" t="s">
        <v>73</v>
      </c>
      <c r="H161" s="50" t="s">
        <v>574</v>
      </c>
      <c r="I161" s="50" t="s">
        <v>190</v>
      </c>
      <c r="J161" s="50" t="s">
        <v>602</v>
      </c>
      <c r="K161" s="49"/>
    </row>
    <row r="162" ht="15.75" customHeight="1">
      <c r="A162" s="53" t="s">
        <v>346</v>
      </c>
      <c r="B162" s="54" t="s">
        <v>347</v>
      </c>
      <c r="C162" s="53" t="s">
        <v>348</v>
      </c>
      <c r="D162" s="54" t="s">
        <v>190</v>
      </c>
      <c r="E162" s="54" t="s">
        <v>13</v>
      </c>
      <c r="F162" s="54" t="s">
        <v>587</v>
      </c>
      <c r="G162" s="54" t="s">
        <v>73</v>
      </c>
      <c r="H162" s="54" t="s">
        <v>574</v>
      </c>
      <c r="I162" s="54" t="s">
        <v>73</v>
      </c>
      <c r="J162" s="54" t="s">
        <v>579</v>
      </c>
      <c r="K162" s="53"/>
    </row>
    <row r="163" ht="15.75" customHeight="1">
      <c r="A163" s="53" t="s">
        <v>270</v>
      </c>
      <c r="B163" s="54" t="s">
        <v>271</v>
      </c>
      <c r="C163" s="53" t="s">
        <v>194</v>
      </c>
      <c r="D163" s="54" t="s">
        <v>190</v>
      </c>
      <c r="E163" s="54" t="s">
        <v>586</v>
      </c>
      <c r="F163" s="54" t="s">
        <v>587</v>
      </c>
      <c r="G163" s="54" t="s">
        <v>73</v>
      </c>
      <c r="H163" s="54" t="s">
        <v>574</v>
      </c>
      <c r="I163" s="54" t="s">
        <v>73</v>
      </c>
      <c r="J163" s="54" t="s">
        <v>73</v>
      </c>
      <c r="K163" s="53"/>
    </row>
    <row r="164" ht="15.75" customHeight="1">
      <c r="A164" s="42" t="s">
        <v>349</v>
      </c>
      <c r="B164" s="41" t="s">
        <v>350</v>
      </c>
      <c r="C164" s="42" t="s">
        <v>200</v>
      </c>
      <c r="D164" s="41" t="s">
        <v>190</v>
      </c>
      <c r="E164" s="41" t="s">
        <v>13</v>
      </c>
      <c r="F164" s="41" t="s">
        <v>578</v>
      </c>
      <c r="G164" s="41" t="s">
        <v>73</v>
      </c>
      <c r="H164" s="41" t="s">
        <v>584</v>
      </c>
      <c r="I164" s="41" t="s">
        <v>73</v>
      </c>
      <c r="J164" s="41" t="s">
        <v>73</v>
      </c>
      <c r="K164" s="42"/>
    </row>
    <row r="165" ht="15.75" customHeight="1">
      <c r="A165" s="49" t="s">
        <v>136</v>
      </c>
      <c r="B165" s="50" t="s">
        <v>137</v>
      </c>
      <c r="C165" s="49" t="s">
        <v>76</v>
      </c>
      <c r="D165" s="50" t="s">
        <v>190</v>
      </c>
      <c r="E165" s="50" t="s">
        <v>5</v>
      </c>
      <c r="F165" s="50" t="s">
        <v>578</v>
      </c>
      <c r="G165" s="50" t="s">
        <v>73</v>
      </c>
      <c r="H165" s="50" t="s">
        <v>574</v>
      </c>
      <c r="I165" s="50" t="s">
        <v>190</v>
      </c>
      <c r="J165" s="50" t="s">
        <v>590</v>
      </c>
      <c r="K165" s="49"/>
    </row>
    <row r="166" ht="15.75" customHeight="1">
      <c r="A166" s="49" t="s">
        <v>138</v>
      </c>
      <c r="B166" s="50" t="s">
        <v>139</v>
      </c>
      <c r="C166" s="49" t="s">
        <v>76</v>
      </c>
      <c r="D166" s="50" t="s">
        <v>190</v>
      </c>
      <c r="E166" s="50" t="s">
        <v>5</v>
      </c>
      <c r="F166" s="50" t="s">
        <v>578</v>
      </c>
      <c r="G166" s="50" t="s">
        <v>73</v>
      </c>
      <c r="H166" s="50" t="s">
        <v>574</v>
      </c>
      <c r="I166" s="50" t="s">
        <v>73</v>
      </c>
      <c r="J166" s="50" t="s">
        <v>590</v>
      </c>
      <c r="K166" s="49"/>
    </row>
    <row r="167" ht="15.75" customHeight="1">
      <c r="A167" s="53" t="s">
        <v>201</v>
      </c>
      <c r="B167" s="54" t="s">
        <v>202</v>
      </c>
      <c r="C167" s="53" t="s">
        <v>200</v>
      </c>
      <c r="D167" s="54" t="s">
        <v>190</v>
      </c>
      <c r="E167" s="54" t="s">
        <v>588</v>
      </c>
      <c r="F167" s="54" t="s">
        <v>587</v>
      </c>
      <c r="G167" s="54" t="s">
        <v>73</v>
      </c>
      <c r="H167" s="54" t="s">
        <v>574</v>
      </c>
      <c r="I167" s="54" t="s">
        <v>73</v>
      </c>
      <c r="J167" s="54" t="s">
        <v>73</v>
      </c>
      <c r="K167" s="53"/>
    </row>
    <row r="168" ht="15.75" customHeight="1">
      <c r="A168" s="53" t="s">
        <v>272</v>
      </c>
      <c r="B168" s="54" t="s">
        <v>273</v>
      </c>
      <c r="C168" s="53" t="s">
        <v>188</v>
      </c>
      <c r="D168" s="54" t="s">
        <v>190</v>
      </c>
      <c r="E168" s="54" t="s">
        <v>586</v>
      </c>
      <c r="F168" s="54" t="s">
        <v>587</v>
      </c>
      <c r="G168" s="54" t="s">
        <v>73</v>
      </c>
      <c r="H168" s="54" t="s">
        <v>582</v>
      </c>
      <c r="I168" s="54" t="s">
        <v>73</v>
      </c>
      <c r="J168" s="54" t="s">
        <v>73</v>
      </c>
      <c r="K168" s="53"/>
    </row>
    <row r="169" ht="15.75" customHeight="1">
      <c r="A169" s="51" t="s">
        <v>476</v>
      </c>
      <c r="B169" s="52" t="s">
        <v>477</v>
      </c>
      <c r="C169" s="51" t="s">
        <v>215</v>
      </c>
      <c r="D169" s="52" t="s">
        <v>190</v>
      </c>
      <c r="E169" s="52" t="s">
        <v>581</v>
      </c>
      <c r="F169" s="52" t="s">
        <v>578</v>
      </c>
      <c r="G169" s="52" t="s">
        <v>73</v>
      </c>
      <c r="H169" s="52" t="s">
        <v>582</v>
      </c>
      <c r="I169" s="52" t="s">
        <v>73</v>
      </c>
      <c r="J169" s="52" t="s">
        <v>73</v>
      </c>
      <c r="K169" s="51"/>
    </row>
    <row r="170" ht="15.75" customHeight="1">
      <c r="A170" s="47" t="s">
        <v>274</v>
      </c>
      <c r="B170" s="48" t="s">
        <v>275</v>
      </c>
      <c r="C170" s="47" t="s">
        <v>188</v>
      </c>
      <c r="D170" s="48" t="s">
        <v>73</v>
      </c>
      <c r="E170" s="48" t="s">
        <v>573</v>
      </c>
      <c r="F170" s="48" t="s">
        <v>573</v>
      </c>
      <c r="G170" s="48" t="s">
        <v>190</v>
      </c>
      <c r="H170" s="48" t="s">
        <v>574</v>
      </c>
      <c r="I170" s="48" t="s">
        <v>190</v>
      </c>
      <c r="J170" s="48" t="s">
        <v>73</v>
      </c>
      <c r="K170" s="47" t="s">
        <v>575</v>
      </c>
    </row>
    <row r="171" ht="15.75" customHeight="1">
      <c r="A171" s="49" t="s">
        <v>140</v>
      </c>
      <c r="B171" s="50" t="s">
        <v>141</v>
      </c>
      <c r="C171" s="49" t="s">
        <v>76</v>
      </c>
      <c r="D171" s="50" t="s">
        <v>190</v>
      </c>
      <c r="E171" s="50" t="s">
        <v>5</v>
      </c>
      <c r="F171" s="50" t="s">
        <v>578</v>
      </c>
      <c r="G171" s="50" t="s">
        <v>73</v>
      </c>
      <c r="H171" s="50" t="s">
        <v>582</v>
      </c>
      <c r="I171" s="50" t="s">
        <v>73</v>
      </c>
      <c r="J171" s="50" t="s">
        <v>73</v>
      </c>
      <c r="K171" s="49"/>
    </row>
    <row r="172" ht="15.75" customHeight="1">
      <c r="A172" s="53" t="s">
        <v>478</v>
      </c>
      <c r="B172" s="54" t="s">
        <v>479</v>
      </c>
      <c r="C172" s="53" t="s">
        <v>211</v>
      </c>
      <c r="D172" s="54" t="s">
        <v>190</v>
      </c>
      <c r="E172" s="54" t="s">
        <v>581</v>
      </c>
      <c r="F172" s="54" t="s">
        <v>587</v>
      </c>
      <c r="G172" s="54" t="s">
        <v>73</v>
      </c>
      <c r="H172" s="54" t="s">
        <v>574</v>
      </c>
      <c r="I172" s="54" t="s">
        <v>73</v>
      </c>
      <c r="J172" s="54" t="s">
        <v>73</v>
      </c>
      <c r="K172" s="53"/>
    </row>
    <row r="173" ht="15.75" customHeight="1">
      <c r="A173" s="47" t="s">
        <v>480</v>
      </c>
      <c r="B173" s="48" t="s">
        <v>481</v>
      </c>
      <c r="C173" s="47" t="s">
        <v>286</v>
      </c>
      <c r="D173" s="48" t="s">
        <v>73</v>
      </c>
      <c r="E173" s="48" t="s">
        <v>573</v>
      </c>
      <c r="F173" s="48" t="s">
        <v>573</v>
      </c>
      <c r="G173" s="48" t="s">
        <v>73</v>
      </c>
      <c r="H173" s="48" t="s">
        <v>574</v>
      </c>
      <c r="I173" s="48" t="s">
        <v>73</v>
      </c>
      <c r="J173" s="48" t="s">
        <v>73</v>
      </c>
      <c r="K173" s="47" t="s">
        <v>603</v>
      </c>
    </row>
    <row r="174" ht="15.75" customHeight="1">
      <c r="A174" s="53" t="s">
        <v>276</v>
      </c>
      <c r="B174" s="54" t="s">
        <v>277</v>
      </c>
      <c r="C174" s="53" t="s">
        <v>257</v>
      </c>
      <c r="D174" s="54" t="s">
        <v>190</v>
      </c>
      <c r="E174" s="54" t="s">
        <v>586</v>
      </c>
      <c r="F174" s="54" t="s">
        <v>587</v>
      </c>
      <c r="G174" s="54" t="s">
        <v>73</v>
      </c>
      <c r="H174" s="54" t="s">
        <v>582</v>
      </c>
      <c r="I174" s="54" t="s">
        <v>73</v>
      </c>
      <c r="J174" s="54" t="s">
        <v>73</v>
      </c>
      <c r="K174" s="53"/>
    </row>
    <row r="175" ht="15.75" customHeight="1">
      <c r="A175" s="53" t="s">
        <v>351</v>
      </c>
      <c r="B175" s="54" t="s">
        <v>352</v>
      </c>
      <c r="C175" s="53" t="s">
        <v>291</v>
      </c>
      <c r="D175" s="54" t="s">
        <v>190</v>
      </c>
      <c r="E175" s="54" t="s">
        <v>13</v>
      </c>
      <c r="F175" s="54" t="s">
        <v>587</v>
      </c>
      <c r="G175" s="54" t="s">
        <v>73</v>
      </c>
      <c r="H175" s="54" t="s">
        <v>574</v>
      </c>
      <c r="I175" s="54" t="s">
        <v>73</v>
      </c>
      <c r="J175" s="54" t="s">
        <v>73</v>
      </c>
      <c r="K175" s="53"/>
    </row>
    <row r="176" ht="15.75" customHeight="1">
      <c r="A176" s="49" t="s">
        <v>142</v>
      </c>
      <c r="B176" s="50" t="s">
        <v>143</v>
      </c>
      <c r="C176" s="49" t="s">
        <v>76</v>
      </c>
      <c r="D176" s="50" t="s">
        <v>190</v>
      </c>
      <c r="E176" s="50" t="s">
        <v>5</v>
      </c>
      <c r="F176" s="50" t="s">
        <v>578</v>
      </c>
      <c r="G176" s="50" t="s">
        <v>73</v>
      </c>
      <c r="H176" s="50" t="s">
        <v>582</v>
      </c>
      <c r="I176" s="50" t="s">
        <v>73</v>
      </c>
      <c r="J176" s="50" t="s">
        <v>73</v>
      </c>
      <c r="K176" s="49"/>
    </row>
    <row r="177" ht="15.75" customHeight="1">
      <c r="A177" s="49" t="s">
        <v>144</v>
      </c>
      <c r="B177" s="50" t="s">
        <v>145</v>
      </c>
      <c r="C177" s="49" t="s">
        <v>107</v>
      </c>
      <c r="D177" s="50" t="s">
        <v>190</v>
      </c>
      <c r="E177" s="50" t="s">
        <v>5</v>
      </c>
      <c r="F177" s="50" t="s">
        <v>578</v>
      </c>
      <c r="G177" s="50" t="s">
        <v>73</v>
      </c>
      <c r="H177" s="50" t="s">
        <v>574</v>
      </c>
      <c r="I177" s="50" t="s">
        <v>190</v>
      </c>
      <c r="J177" s="50" t="s">
        <v>579</v>
      </c>
      <c r="K177" s="49"/>
    </row>
    <row r="178" ht="15.75" customHeight="1">
      <c r="A178" s="53" t="s">
        <v>482</v>
      </c>
      <c r="B178" s="54" t="s">
        <v>483</v>
      </c>
      <c r="C178" s="53" t="s">
        <v>286</v>
      </c>
      <c r="D178" s="54" t="s">
        <v>190</v>
      </c>
      <c r="E178" s="54" t="s">
        <v>581</v>
      </c>
      <c r="F178" s="54" t="s">
        <v>587</v>
      </c>
      <c r="G178" s="54" t="s">
        <v>73</v>
      </c>
      <c r="H178" s="54" t="s">
        <v>574</v>
      </c>
      <c r="I178" s="54" t="s">
        <v>73</v>
      </c>
      <c r="J178" s="54" t="s">
        <v>73</v>
      </c>
      <c r="K178" s="53"/>
    </row>
    <row r="179" ht="15.75" customHeight="1">
      <c r="A179" s="47" t="s">
        <v>484</v>
      </c>
      <c r="B179" s="48" t="s">
        <v>485</v>
      </c>
      <c r="C179" s="47" t="s">
        <v>200</v>
      </c>
      <c r="D179" s="48" t="s">
        <v>73</v>
      </c>
      <c r="E179" s="48" t="s">
        <v>573</v>
      </c>
      <c r="F179" s="48" t="s">
        <v>573</v>
      </c>
      <c r="G179" s="48" t="s">
        <v>73</v>
      </c>
      <c r="H179" s="48" t="s">
        <v>574</v>
      </c>
      <c r="I179" s="48" t="s">
        <v>73</v>
      </c>
      <c r="J179" s="48" t="s">
        <v>73</v>
      </c>
      <c r="K179" s="47" t="s">
        <v>603</v>
      </c>
    </row>
    <row r="180" ht="15.75" customHeight="1">
      <c r="A180" s="47" t="s">
        <v>178</v>
      </c>
      <c r="B180" s="48" t="s">
        <v>179</v>
      </c>
      <c r="C180" s="47" t="s">
        <v>155</v>
      </c>
      <c r="D180" s="48" t="s">
        <v>73</v>
      </c>
      <c r="E180" s="48" t="s">
        <v>573</v>
      </c>
      <c r="F180" s="48" t="s">
        <v>573</v>
      </c>
      <c r="G180" s="48" t="s">
        <v>73</v>
      </c>
      <c r="H180" s="48" t="s">
        <v>574</v>
      </c>
      <c r="I180" s="48" t="s">
        <v>190</v>
      </c>
      <c r="J180" s="48" t="s">
        <v>73</v>
      </c>
      <c r="K180" s="47" t="s">
        <v>575</v>
      </c>
    </row>
    <row r="181" ht="15.75" customHeight="1">
      <c r="A181" s="51" t="s">
        <v>486</v>
      </c>
      <c r="B181" s="52" t="s">
        <v>487</v>
      </c>
      <c r="C181" s="51" t="s">
        <v>200</v>
      </c>
      <c r="D181" s="52" t="s">
        <v>190</v>
      </c>
      <c r="E181" s="52" t="s">
        <v>581</v>
      </c>
      <c r="F181" s="52" t="s">
        <v>578</v>
      </c>
      <c r="G181" s="52" t="s">
        <v>73</v>
      </c>
      <c r="H181" s="52" t="s">
        <v>582</v>
      </c>
      <c r="I181" s="52" t="s">
        <v>73</v>
      </c>
      <c r="J181" s="52" t="s">
        <v>590</v>
      </c>
      <c r="K181" s="51"/>
    </row>
    <row r="182" ht="15.75" customHeight="1">
      <c r="A182" s="53" t="s">
        <v>203</v>
      </c>
      <c r="B182" s="54" t="s">
        <v>204</v>
      </c>
      <c r="C182" s="53" t="s">
        <v>200</v>
      </c>
      <c r="D182" s="54" t="s">
        <v>190</v>
      </c>
      <c r="E182" s="54" t="s">
        <v>588</v>
      </c>
      <c r="F182" s="54" t="s">
        <v>587</v>
      </c>
      <c r="G182" s="54" t="s">
        <v>190</v>
      </c>
      <c r="H182" s="54" t="s">
        <v>574</v>
      </c>
      <c r="I182" s="54" t="s">
        <v>73</v>
      </c>
      <c r="J182" s="54" t="s">
        <v>73</v>
      </c>
      <c r="K182" s="53"/>
    </row>
    <row r="183" ht="15.75" customHeight="1">
      <c r="A183" s="53" t="s">
        <v>278</v>
      </c>
      <c r="B183" s="54" t="s">
        <v>279</v>
      </c>
      <c r="C183" s="53" t="s">
        <v>194</v>
      </c>
      <c r="D183" s="54" t="s">
        <v>190</v>
      </c>
      <c r="E183" s="54" t="s">
        <v>586</v>
      </c>
      <c r="F183" s="54" t="s">
        <v>587</v>
      </c>
      <c r="G183" s="54" t="s">
        <v>73</v>
      </c>
      <c r="H183" s="54" t="s">
        <v>574</v>
      </c>
      <c r="I183" s="54" t="s">
        <v>73</v>
      </c>
      <c r="J183" s="54" t="s">
        <v>579</v>
      </c>
      <c r="K183" s="53"/>
    </row>
    <row r="184" ht="15.75" customHeight="1">
      <c r="A184" s="53" t="s">
        <v>353</v>
      </c>
      <c r="B184" s="54" t="s">
        <v>354</v>
      </c>
      <c r="C184" s="53" t="s">
        <v>207</v>
      </c>
      <c r="D184" s="54" t="s">
        <v>190</v>
      </c>
      <c r="E184" s="54" t="s">
        <v>13</v>
      </c>
      <c r="F184" s="54" t="s">
        <v>587</v>
      </c>
      <c r="G184" s="54" t="s">
        <v>73</v>
      </c>
      <c r="H184" s="54" t="s">
        <v>574</v>
      </c>
      <c r="I184" s="54" t="s">
        <v>73</v>
      </c>
      <c r="J184" s="54" t="s">
        <v>73</v>
      </c>
      <c r="K184" s="53"/>
    </row>
    <row r="185" ht="15.75" customHeight="1">
      <c r="A185" s="42" t="s">
        <v>355</v>
      </c>
      <c r="B185" s="41" t="s">
        <v>356</v>
      </c>
      <c r="C185" s="42" t="s">
        <v>291</v>
      </c>
      <c r="D185" s="41" t="s">
        <v>190</v>
      </c>
      <c r="E185" s="41" t="s">
        <v>13</v>
      </c>
      <c r="F185" s="41" t="s">
        <v>578</v>
      </c>
      <c r="G185" s="41" t="s">
        <v>190</v>
      </c>
      <c r="H185" s="41" t="s">
        <v>574</v>
      </c>
      <c r="I185" s="41" t="s">
        <v>73</v>
      </c>
      <c r="J185" s="41" t="s">
        <v>73</v>
      </c>
      <c r="K185" s="42"/>
    </row>
    <row r="186" ht="15.75" customHeight="1">
      <c r="A186" s="51" t="s">
        <v>488</v>
      </c>
      <c r="B186" s="52" t="s">
        <v>489</v>
      </c>
      <c r="C186" s="51" t="s">
        <v>257</v>
      </c>
      <c r="D186" s="52" t="s">
        <v>190</v>
      </c>
      <c r="E186" s="52" t="s">
        <v>581</v>
      </c>
      <c r="F186" s="52" t="s">
        <v>578</v>
      </c>
      <c r="G186" s="52" t="s">
        <v>73</v>
      </c>
      <c r="H186" s="52" t="s">
        <v>582</v>
      </c>
      <c r="I186" s="52" t="s">
        <v>73</v>
      </c>
      <c r="J186" s="52" t="s">
        <v>579</v>
      </c>
      <c r="K186" s="51"/>
    </row>
    <row r="187" ht="15.75" customHeight="1">
      <c r="A187" s="53" t="s">
        <v>180</v>
      </c>
      <c r="B187" s="54" t="s">
        <v>181</v>
      </c>
      <c r="C187" s="53" t="s">
        <v>155</v>
      </c>
      <c r="D187" s="54" t="s">
        <v>190</v>
      </c>
      <c r="E187" s="54" t="s">
        <v>581</v>
      </c>
      <c r="F187" s="54" t="s">
        <v>587</v>
      </c>
      <c r="G187" s="54" t="s">
        <v>190</v>
      </c>
      <c r="H187" s="54" t="s">
        <v>574</v>
      </c>
      <c r="I187" s="54" t="s">
        <v>190</v>
      </c>
      <c r="J187" s="54" t="s">
        <v>73</v>
      </c>
      <c r="K187" s="53"/>
    </row>
    <row r="188" ht="15.75" customHeight="1">
      <c r="A188" s="53" t="s">
        <v>205</v>
      </c>
      <c r="B188" s="54" t="s">
        <v>206</v>
      </c>
      <c r="C188" s="53" t="s">
        <v>207</v>
      </c>
      <c r="D188" s="54" t="s">
        <v>190</v>
      </c>
      <c r="E188" s="54" t="s">
        <v>588</v>
      </c>
      <c r="F188" s="54" t="s">
        <v>587</v>
      </c>
      <c r="G188" s="54" t="s">
        <v>73</v>
      </c>
      <c r="H188" s="54" t="s">
        <v>584</v>
      </c>
      <c r="I188" s="54" t="s">
        <v>73</v>
      </c>
      <c r="J188" s="54" t="s">
        <v>73</v>
      </c>
      <c r="K188" s="53"/>
    </row>
    <row r="189" ht="15.75" customHeight="1">
      <c r="A189" s="51" t="s">
        <v>490</v>
      </c>
      <c r="B189" s="52" t="s">
        <v>491</v>
      </c>
      <c r="C189" s="51" t="s">
        <v>286</v>
      </c>
      <c r="D189" s="52" t="s">
        <v>190</v>
      </c>
      <c r="E189" s="52" t="s">
        <v>581</v>
      </c>
      <c r="F189" s="52" t="s">
        <v>578</v>
      </c>
      <c r="G189" s="52" t="s">
        <v>73</v>
      </c>
      <c r="H189" s="52" t="s">
        <v>582</v>
      </c>
      <c r="I189" s="52" t="s">
        <v>73</v>
      </c>
      <c r="J189" s="52" t="s">
        <v>73</v>
      </c>
      <c r="K189" s="51"/>
    </row>
    <row r="190" ht="15.75" customHeight="1">
      <c r="A190" s="53" t="s">
        <v>280</v>
      </c>
      <c r="B190" s="54" t="s">
        <v>281</v>
      </c>
      <c r="C190" s="53" t="s">
        <v>188</v>
      </c>
      <c r="D190" s="54" t="s">
        <v>190</v>
      </c>
      <c r="E190" s="54" t="s">
        <v>586</v>
      </c>
      <c r="F190" s="54" t="s">
        <v>587</v>
      </c>
      <c r="G190" s="54" t="s">
        <v>73</v>
      </c>
      <c r="H190" s="54" t="s">
        <v>574</v>
      </c>
      <c r="I190" s="54" t="s">
        <v>190</v>
      </c>
      <c r="J190" s="54" t="s">
        <v>73</v>
      </c>
      <c r="K190" s="53"/>
    </row>
    <row r="191" ht="15.75" customHeight="1">
      <c r="A191" s="51" t="s">
        <v>182</v>
      </c>
      <c r="B191" s="52" t="s">
        <v>183</v>
      </c>
      <c r="C191" s="51" t="s">
        <v>155</v>
      </c>
      <c r="D191" s="52" t="s">
        <v>190</v>
      </c>
      <c r="E191" s="52" t="s">
        <v>581</v>
      </c>
      <c r="F191" s="52" t="s">
        <v>578</v>
      </c>
      <c r="G191" s="52" t="s">
        <v>73</v>
      </c>
      <c r="H191" s="52" t="s">
        <v>574</v>
      </c>
      <c r="I191" s="52" t="s">
        <v>73</v>
      </c>
      <c r="J191" s="52" t="s">
        <v>579</v>
      </c>
      <c r="K191" s="51"/>
    </row>
    <row r="192" ht="15.75" customHeight="1">
      <c r="A192" s="51" t="s">
        <v>492</v>
      </c>
      <c r="B192" s="52" t="s">
        <v>493</v>
      </c>
      <c r="C192" s="51" t="s">
        <v>286</v>
      </c>
      <c r="D192" s="52" t="s">
        <v>190</v>
      </c>
      <c r="E192" s="52" t="s">
        <v>581</v>
      </c>
      <c r="F192" s="52" t="s">
        <v>578</v>
      </c>
      <c r="G192" s="52" t="s">
        <v>190</v>
      </c>
      <c r="H192" s="52" t="s">
        <v>582</v>
      </c>
      <c r="I192" s="52" t="s">
        <v>73</v>
      </c>
      <c r="J192" s="52" t="s">
        <v>602</v>
      </c>
      <c r="K192" s="51"/>
    </row>
    <row r="193" ht="15.75" customHeight="1">
      <c r="A193" s="49" t="s">
        <v>146</v>
      </c>
      <c r="B193" s="50" t="s">
        <v>147</v>
      </c>
      <c r="C193" s="49" t="s">
        <v>107</v>
      </c>
      <c r="D193" s="50" t="s">
        <v>190</v>
      </c>
      <c r="E193" s="50" t="s">
        <v>5</v>
      </c>
      <c r="F193" s="50" t="s">
        <v>578</v>
      </c>
      <c r="G193" s="50" t="s">
        <v>73</v>
      </c>
      <c r="H193" s="50" t="s">
        <v>582</v>
      </c>
      <c r="I193" s="50" t="s">
        <v>73</v>
      </c>
      <c r="J193" s="50" t="s">
        <v>73</v>
      </c>
      <c r="K193" s="49"/>
    </row>
    <row r="194" ht="15.75" customHeight="1">
      <c r="A194" s="53" t="s">
        <v>282</v>
      </c>
      <c r="B194" s="54" t="s">
        <v>283</v>
      </c>
      <c r="C194" s="53" t="s">
        <v>188</v>
      </c>
      <c r="D194" s="54" t="s">
        <v>190</v>
      </c>
      <c r="E194" s="54" t="s">
        <v>586</v>
      </c>
      <c r="F194" s="54" t="s">
        <v>587</v>
      </c>
      <c r="G194" s="54" t="s">
        <v>73</v>
      </c>
      <c r="H194" s="54" t="s">
        <v>582</v>
      </c>
      <c r="I194" s="54" t="s">
        <v>73</v>
      </c>
      <c r="J194" s="54" t="s">
        <v>73</v>
      </c>
      <c r="K194" s="53"/>
    </row>
    <row r="195" ht="15.75" customHeight="1">
      <c r="A195" s="49" t="s">
        <v>148</v>
      </c>
      <c r="B195" s="50" t="s">
        <v>149</v>
      </c>
      <c r="C195" s="49" t="s">
        <v>83</v>
      </c>
      <c r="D195" s="50" t="s">
        <v>190</v>
      </c>
      <c r="E195" s="50" t="s">
        <v>5</v>
      </c>
      <c r="F195" s="50" t="s">
        <v>578</v>
      </c>
      <c r="G195" s="50" t="s">
        <v>73</v>
      </c>
      <c r="H195" s="50" t="s">
        <v>582</v>
      </c>
      <c r="I195" s="50" t="s">
        <v>73</v>
      </c>
      <c r="J195" s="50" t="s">
        <v>73</v>
      </c>
      <c r="K195" s="49"/>
    </row>
    <row r="196" ht="15.75" customHeight="1">
      <c r="A196" s="51" t="s">
        <v>494</v>
      </c>
      <c r="B196" s="52" t="s">
        <v>495</v>
      </c>
      <c r="C196" s="51" t="s">
        <v>368</v>
      </c>
      <c r="D196" s="52" t="s">
        <v>190</v>
      </c>
      <c r="E196" s="52" t="s">
        <v>581</v>
      </c>
      <c r="F196" s="52" t="s">
        <v>578</v>
      </c>
      <c r="G196" s="52" t="s">
        <v>73</v>
      </c>
      <c r="H196" s="52" t="s">
        <v>582</v>
      </c>
      <c r="I196" s="52" t="s">
        <v>73</v>
      </c>
      <c r="J196" s="52" t="s">
        <v>590</v>
      </c>
      <c r="K196" s="51"/>
    </row>
    <row r="197" ht="15.75" customHeight="1">
      <c r="A197" s="47" t="s">
        <v>184</v>
      </c>
      <c r="B197" s="48" t="s">
        <v>185</v>
      </c>
      <c r="C197" s="47" t="s">
        <v>155</v>
      </c>
      <c r="D197" s="48" t="s">
        <v>73</v>
      </c>
      <c r="E197" s="48" t="s">
        <v>573</v>
      </c>
      <c r="F197" s="48" t="s">
        <v>573</v>
      </c>
      <c r="G197" s="48" t="s">
        <v>73</v>
      </c>
      <c r="H197" s="48" t="s">
        <v>582</v>
      </c>
      <c r="I197" s="48" t="s">
        <v>190</v>
      </c>
      <c r="J197" s="48" t="s">
        <v>73</v>
      </c>
      <c r="K197" s="47" t="s">
        <v>575</v>
      </c>
    </row>
    <row r="198" ht="15.75" customHeight="1">
      <c r="A198" s="53" t="s">
        <v>357</v>
      </c>
      <c r="B198" s="54" t="s">
        <v>358</v>
      </c>
      <c r="C198" s="53" t="s">
        <v>200</v>
      </c>
      <c r="D198" s="54" t="s">
        <v>190</v>
      </c>
      <c r="E198" s="54" t="s">
        <v>13</v>
      </c>
      <c r="F198" s="54" t="s">
        <v>587</v>
      </c>
      <c r="G198" s="54" t="s">
        <v>73</v>
      </c>
      <c r="H198" s="54" t="s">
        <v>574</v>
      </c>
      <c r="I198" s="54" t="s">
        <v>73</v>
      </c>
      <c r="J198" s="54" t="s">
        <v>579</v>
      </c>
      <c r="K198" s="53"/>
    </row>
    <row r="199" ht="15.75" customHeight="1">
      <c r="A199" s="51" t="s">
        <v>496</v>
      </c>
      <c r="B199" s="52" t="s">
        <v>497</v>
      </c>
      <c r="C199" s="51" t="s">
        <v>368</v>
      </c>
      <c r="D199" s="52" t="s">
        <v>190</v>
      </c>
      <c r="E199" s="52" t="s">
        <v>581</v>
      </c>
      <c r="F199" s="52" t="s">
        <v>578</v>
      </c>
      <c r="G199" s="52" t="s">
        <v>190</v>
      </c>
      <c r="H199" s="52" t="s">
        <v>574</v>
      </c>
      <c r="I199" s="52" t="s">
        <v>73</v>
      </c>
      <c r="J199" s="52" t="s">
        <v>73</v>
      </c>
      <c r="K199" s="51"/>
    </row>
    <row r="200" ht="15.75" customHeight="1">
      <c r="A200" s="51" t="s">
        <v>498</v>
      </c>
      <c r="B200" s="52" t="s">
        <v>499</v>
      </c>
      <c r="C200" s="51" t="s">
        <v>200</v>
      </c>
      <c r="D200" s="52" t="s">
        <v>190</v>
      </c>
      <c r="E200" s="52" t="s">
        <v>581</v>
      </c>
      <c r="F200" s="52" t="s">
        <v>578</v>
      </c>
      <c r="G200" s="52" t="s">
        <v>73</v>
      </c>
      <c r="H200" s="52" t="s">
        <v>582</v>
      </c>
      <c r="I200" s="52" t="s">
        <v>73</v>
      </c>
      <c r="J200" s="52" t="s">
        <v>579</v>
      </c>
      <c r="K200" s="51"/>
    </row>
    <row r="201" ht="15.75" customHeight="1">
      <c r="A201" s="53" t="s">
        <v>284</v>
      </c>
      <c r="B201" s="54" t="s">
        <v>285</v>
      </c>
      <c r="C201" s="53" t="s">
        <v>286</v>
      </c>
      <c r="D201" s="54" t="s">
        <v>190</v>
      </c>
      <c r="E201" s="54" t="s">
        <v>586</v>
      </c>
      <c r="F201" s="54" t="s">
        <v>587</v>
      </c>
      <c r="G201" s="54" t="s">
        <v>190</v>
      </c>
      <c r="H201" s="54" t="s">
        <v>574</v>
      </c>
      <c r="I201" s="54" t="s">
        <v>73</v>
      </c>
      <c r="J201" s="54" t="s">
        <v>73</v>
      </c>
      <c r="K201" s="53"/>
    </row>
    <row r="202" ht="15.75" customHeight="1">
      <c r="A202" s="53" t="s">
        <v>287</v>
      </c>
      <c r="B202" s="54" t="s">
        <v>288</v>
      </c>
      <c r="C202" s="53" t="s">
        <v>215</v>
      </c>
      <c r="D202" s="54" t="s">
        <v>190</v>
      </c>
      <c r="E202" s="54" t="s">
        <v>586</v>
      </c>
      <c r="F202" s="54" t="s">
        <v>587</v>
      </c>
      <c r="G202" s="54" t="s">
        <v>73</v>
      </c>
      <c r="H202" s="54" t="s">
        <v>582</v>
      </c>
      <c r="I202" s="54" t="s">
        <v>190</v>
      </c>
      <c r="J202" s="54" t="s">
        <v>73</v>
      </c>
      <c r="K202" s="53"/>
    </row>
    <row r="203" ht="15.75" customHeight="1">
      <c r="A203" s="53" t="s">
        <v>500</v>
      </c>
      <c r="B203" s="54" t="s">
        <v>501</v>
      </c>
      <c r="C203" s="53" t="s">
        <v>215</v>
      </c>
      <c r="D203" s="54" t="s">
        <v>190</v>
      </c>
      <c r="E203" s="54" t="s">
        <v>581</v>
      </c>
      <c r="F203" s="54" t="s">
        <v>587</v>
      </c>
      <c r="G203" s="54" t="s">
        <v>73</v>
      </c>
      <c r="H203" s="54" t="s">
        <v>582</v>
      </c>
      <c r="I203" s="54" t="s">
        <v>190</v>
      </c>
      <c r="J203" s="54" t="s">
        <v>73</v>
      </c>
      <c r="K203" s="53"/>
    </row>
    <row r="204" ht="15.75" customHeight="1"/>
    <row r="205" ht="15.75" customHeight="1">
      <c r="A205" s="57" t="s">
        <v>605</v>
      </c>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K$203"/>
  <mergeCells count="4">
    <mergeCell ref="A1:K1"/>
    <mergeCell ref="A2:K2"/>
    <mergeCell ref="A3:K3"/>
    <mergeCell ref="M5:N5"/>
  </mergeCells>
  <hyperlinks>
    <hyperlink r:id="rId1" location="'Cover'!A1" ref="A205"/>
  </hyperlinks>
  <printOptions/>
  <pageMargins bottom="1.0" footer="0.0" header="0.0" left="0.75" right="0.75" top="1.0"/>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2.0"/>
    <col customWidth="1" min="3" max="3" width="45.0"/>
    <col customWidth="1" min="4" max="4" width="42.0"/>
    <col customWidth="1" min="5" max="5" width="22.0"/>
    <col customWidth="1" min="6" max="7" width="55.0"/>
    <col customWidth="1" min="8" max="26" width="8.71"/>
  </cols>
  <sheetData>
    <row r="1">
      <c r="A1" s="58" t="s">
        <v>606</v>
      </c>
    </row>
    <row r="2">
      <c r="A2" s="18" t="s">
        <v>607</v>
      </c>
    </row>
    <row r="4" ht="33.75" customHeight="1">
      <c r="A4" s="19" t="s">
        <v>608</v>
      </c>
      <c r="B4" s="19" t="s">
        <v>609</v>
      </c>
      <c r="C4" s="19" t="s">
        <v>610</v>
      </c>
      <c r="D4" s="19" t="s">
        <v>611</v>
      </c>
      <c r="E4" s="19" t="s">
        <v>612</v>
      </c>
      <c r="F4" s="19" t="s">
        <v>613</v>
      </c>
      <c r="G4" s="19" t="s">
        <v>614</v>
      </c>
    </row>
    <row r="5" ht="60.0" customHeight="1">
      <c r="A5" s="59" t="s">
        <v>615</v>
      </c>
      <c r="B5" s="59" t="s">
        <v>616</v>
      </c>
      <c r="C5" s="60" t="s">
        <v>617</v>
      </c>
      <c r="D5" s="60" t="s">
        <v>618</v>
      </c>
      <c r="E5" s="59" t="s">
        <v>619</v>
      </c>
      <c r="F5" s="61" t="s">
        <v>620</v>
      </c>
      <c r="G5" s="60" t="s">
        <v>621</v>
      </c>
    </row>
    <row r="6" ht="60.0" customHeight="1">
      <c r="A6" s="62" t="s">
        <v>622</v>
      </c>
      <c r="B6" s="62" t="s">
        <v>623</v>
      </c>
      <c r="C6" s="63" t="s">
        <v>624</v>
      </c>
      <c r="D6" s="63" t="s">
        <v>625</v>
      </c>
      <c r="E6" s="62" t="s">
        <v>626</v>
      </c>
      <c r="F6" s="64" t="s">
        <v>627</v>
      </c>
      <c r="G6" s="63" t="s">
        <v>628</v>
      </c>
    </row>
    <row r="7" ht="60.0" customHeight="1">
      <c r="A7" s="59" t="s">
        <v>629</v>
      </c>
      <c r="B7" s="59" t="s">
        <v>623</v>
      </c>
      <c r="C7" s="60" t="s">
        <v>630</v>
      </c>
      <c r="D7" s="60" t="s">
        <v>625</v>
      </c>
      <c r="E7" s="59" t="s">
        <v>631</v>
      </c>
      <c r="F7" s="61" t="s">
        <v>632</v>
      </c>
      <c r="G7" s="60" t="s">
        <v>633</v>
      </c>
    </row>
    <row r="8" ht="60.0" customHeight="1">
      <c r="A8" s="62" t="s">
        <v>634</v>
      </c>
      <c r="B8" s="62" t="s">
        <v>616</v>
      </c>
      <c r="C8" s="63" t="s">
        <v>635</v>
      </c>
      <c r="D8" s="63" t="s">
        <v>636</v>
      </c>
      <c r="E8" s="62" t="s">
        <v>637</v>
      </c>
      <c r="F8" s="64" t="s">
        <v>638</v>
      </c>
      <c r="G8" s="63" t="s">
        <v>639</v>
      </c>
    </row>
    <row r="9" ht="60.0" customHeight="1">
      <c r="A9" s="59" t="s">
        <v>640</v>
      </c>
      <c r="B9" s="59" t="s">
        <v>641</v>
      </c>
      <c r="C9" s="60" t="s">
        <v>642</v>
      </c>
      <c r="D9" s="60" t="s">
        <v>643</v>
      </c>
      <c r="E9" s="59" t="s">
        <v>644</v>
      </c>
      <c r="F9" s="61" t="s">
        <v>645</v>
      </c>
      <c r="G9" s="60" t="s">
        <v>646</v>
      </c>
    </row>
    <row r="10" ht="60.0" customHeight="1">
      <c r="A10" s="62" t="s">
        <v>647</v>
      </c>
      <c r="B10" s="62" t="s">
        <v>648</v>
      </c>
      <c r="C10" s="63" t="s">
        <v>649</v>
      </c>
      <c r="D10" s="63" t="s">
        <v>650</v>
      </c>
      <c r="E10" s="62" t="s">
        <v>651</v>
      </c>
      <c r="F10" s="64" t="s">
        <v>652</v>
      </c>
      <c r="G10" s="63" t="s">
        <v>653</v>
      </c>
    </row>
    <row r="11" ht="60.0" customHeight="1">
      <c r="A11" s="59" t="s">
        <v>654</v>
      </c>
      <c r="B11" s="59" t="s">
        <v>648</v>
      </c>
      <c r="C11" s="60" t="s">
        <v>655</v>
      </c>
      <c r="D11" s="60" t="s">
        <v>650</v>
      </c>
      <c r="E11" s="59" t="s">
        <v>656</v>
      </c>
      <c r="F11" s="61" t="s">
        <v>657</v>
      </c>
      <c r="G11" s="60" t="s">
        <v>658</v>
      </c>
    </row>
    <row r="12" ht="60.0" customHeight="1">
      <c r="A12" s="62" t="s">
        <v>659</v>
      </c>
      <c r="B12" s="62" t="s">
        <v>648</v>
      </c>
      <c r="C12" s="63" t="s">
        <v>660</v>
      </c>
      <c r="D12" s="63" t="s">
        <v>661</v>
      </c>
      <c r="E12" s="62" t="s">
        <v>662</v>
      </c>
      <c r="F12" s="64" t="s">
        <v>663</v>
      </c>
      <c r="G12" s="63" t="s">
        <v>664</v>
      </c>
    </row>
    <row r="13" ht="60.0" customHeight="1">
      <c r="A13" s="59" t="s">
        <v>665</v>
      </c>
      <c r="B13" s="59" t="s">
        <v>648</v>
      </c>
      <c r="C13" s="60" t="s">
        <v>666</v>
      </c>
      <c r="D13" s="60" t="s">
        <v>667</v>
      </c>
      <c r="E13" s="59" t="s">
        <v>668</v>
      </c>
      <c r="F13" s="61" t="s">
        <v>669</v>
      </c>
      <c r="G13" s="60" t="s">
        <v>670</v>
      </c>
    </row>
    <row r="14" ht="60.0" customHeight="1">
      <c r="A14" s="62" t="s">
        <v>671</v>
      </c>
      <c r="B14" s="62" t="s">
        <v>672</v>
      </c>
      <c r="C14" s="63" t="s">
        <v>673</v>
      </c>
      <c r="D14" s="63" t="s">
        <v>674</v>
      </c>
      <c r="E14" s="62" t="s">
        <v>668</v>
      </c>
      <c r="F14" s="64" t="s">
        <v>675</v>
      </c>
      <c r="G14" s="63" t="s">
        <v>676</v>
      </c>
    </row>
    <row r="15" ht="60.0" customHeight="1">
      <c r="A15" s="59" t="s">
        <v>677</v>
      </c>
      <c r="B15" s="59" t="s">
        <v>648</v>
      </c>
      <c r="C15" s="60" t="s">
        <v>678</v>
      </c>
      <c r="D15" s="60" t="s">
        <v>661</v>
      </c>
      <c r="E15" s="59" t="s">
        <v>679</v>
      </c>
      <c r="F15" s="61" t="s">
        <v>680</v>
      </c>
      <c r="G15" s="60" t="s">
        <v>681</v>
      </c>
    </row>
    <row r="16" ht="60.0" customHeight="1">
      <c r="A16" s="62" t="s">
        <v>682</v>
      </c>
      <c r="B16" s="62" t="s">
        <v>648</v>
      </c>
      <c r="C16" s="63" t="s">
        <v>683</v>
      </c>
      <c r="D16" s="63" t="s">
        <v>684</v>
      </c>
      <c r="E16" s="62" t="s">
        <v>685</v>
      </c>
      <c r="F16" s="64" t="s">
        <v>686</v>
      </c>
      <c r="G16" s="63" t="s">
        <v>687</v>
      </c>
    </row>
    <row r="17" ht="60.0" customHeight="1">
      <c r="A17" s="59" t="s">
        <v>688</v>
      </c>
      <c r="B17" s="59" t="s">
        <v>616</v>
      </c>
      <c r="C17" s="60" t="s">
        <v>689</v>
      </c>
      <c r="D17" s="60" t="s">
        <v>690</v>
      </c>
      <c r="E17" s="59" t="s">
        <v>619</v>
      </c>
      <c r="F17" s="61" t="s">
        <v>620</v>
      </c>
      <c r="G17" s="60" t="s">
        <v>691</v>
      </c>
    </row>
    <row r="18" ht="60.0" customHeight="1">
      <c r="A18" s="62" t="s">
        <v>692</v>
      </c>
      <c r="B18" s="62" t="s">
        <v>623</v>
      </c>
      <c r="C18" s="63" t="s">
        <v>693</v>
      </c>
      <c r="D18" s="63" t="s">
        <v>694</v>
      </c>
      <c r="E18" s="62" t="s">
        <v>668</v>
      </c>
      <c r="F18" s="64" t="s">
        <v>695</v>
      </c>
      <c r="G18" s="63" t="s">
        <v>696</v>
      </c>
    </row>
    <row r="19" ht="60.0" customHeight="1">
      <c r="A19" s="59" t="s">
        <v>697</v>
      </c>
      <c r="B19" s="59" t="s">
        <v>698</v>
      </c>
      <c r="C19" s="60" t="s">
        <v>699</v>
      </c>
      <c r="D19" s="60" t="s">
        <v>700</v>
      </c>
      <c r="E19" s="59" t="s">
        <v>701</v>
      </c>
      <c r="F19" s="61" t="s">
        <v>702</v>
      </c>
      <c r="G19" s="60" t="s">
        <v>703</v>
      </c>
    </row>
    <row r="20" ht="60.0" customHeight="1">
      <c r="A20" s="62" t="s">
        <v>704</v>
      </c>
      <c r="B20" s="62" t="s">
        <v>705</v>
      </c>
      <c r="C20" s="63" t="s">
        <v>706</v>
      </c>
      <c r="D20" s="63" t="s">
        <v>707</v>
      </c>
      <c r="E20" s="62" t="s">
        <v>708</v>
      </c>
      <c r="F20" s="64" t="s">
        <v>709</v>
      </c>
      <c r="G20" s="63" t="s">
        <v>710</v>
      </c>
    </row>
    <row r="21" ht="60.0" customHeight="1">
      <c r="A21" s="59" t="s">
        <v>711</v>
      </c>
      <c r="B21" s="59" t="s">
        <v>648</v>
      </c>
      <c r="C21" s="60" t="s">
        <v>712</v>
      </c>
      <c r="D21" s="60" t="s">
        <v>713</v>
      </c>
      <c r="E21" s="59" t="s">
        <v>714</v>
      </c>
      <c r="F21" s="61" t="s">
        <v>715</v>
      </c>
      <c r="G21" s="60" t="s">
        <v>716</v>
      </c>
    </row>
    <row r="22" ht="15.75" customHeight="1"/>
    <row r="23" ht="15.75" customHeight="1">
      <c r="A23" s="57" t="s">
        <v>605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hyperlinks>
    <hyperlink r:id="rId1" ref="F5"/>
    <hyperlink r:id="rId2" ref="F6"/>
    <hyperlink r:id="rId3" ref="F7"/>
    <hyperlink r:id="rId4" ref="F8"/>
    <hyperlink r:id="rId5" ref="F9"/>
    <hyperlink r:id="rId6" ref="F10"/>
    <hyperlink r:id="rId7" ref="F11"/>
    <hyperlink r:id="rId8" ref="F12"/>
    <hyperlink r:id="rId9" ref="F13"/>
    <hyperlink r:id="rId10" ref="F14"/>
    <hyperlink r:id="rId11" ref="F15"/>
    <hyperlink r:id="rId12" ref="F16"/>
    <hyperlink r:id="rId13" ref="F17"/>
    <hyperlink r:id="rId14" ref="F18"/>
    <hyperlink r:id="rId15" ref="F19"/>
    <hyperlink r:id="rId16" ref="F20"/>
    <hyperlink r:id="rId17" ref="F21"/>
    <hyperlink r:id="rId18" location="'Cover'!A1" ref="A23"/>
  </hyperlinks>
  <printOptions/>
  <pageMargins bottom="1.0" footer="0.0" header="0.0" left="0.75" right="0.75" top="1.0"/>
  <pageSetup paperSize="9" orientation="portrait"/>
  <drawing r:id="rId19"/>
</worksheet>
</file>